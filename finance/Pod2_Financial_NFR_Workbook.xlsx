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Token Economics" sheetId="3" state="visible" r:id="rId3"/>
    <sheet name="TCO &amp; ROI" sheetId="4" state="visible" r:id="rId4"/>
    <sheet name="NFR SLA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;(0.0%);&quot;-&quot;"/>
    <numFmt numFmtId="165" formatCode="$#,##0;($#,##0);&quot;-&quot;"/>
    <numFmt numFmtId="166" formatCode="#,##0;(#,##0);&quot;-&quot;"/>
    <numFmt numFmtId="167" formatCode="#,##0.0;(#,##0.0);&quot;-&quot;"/>
    <numFmt numFmtId="168" formatCode="0.0&quot;x&quot;"/>
    <numFmt numFmtId="169" formatCode="$#,##0.00;($#,##0.00);&quot;-&quot;"/>
    <numFmt numFmtId="170" formatCode="$#,##0.000"/>
    <numFmt numFmtId="171" formatCode="$#,##0.000;($#,##0.000);&quot;-&quot;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Consolas"/>
      <b val="1"/>
      <color rgb="001F3864"/>
      <sz val="11"/>
    </font>
    <font>
      <name val="Arial"/>
      <color rgb="00008000"/>
      <sz val="10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64" fontId="12" fillId="0" borderId="0" pivotButton="0" quotePrefix="0" xfId="0"/>
    <xf numFmtId="167" fontId="12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3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6" fillId="4" borderId="0" applyAlignment="1" pivotButton="0" quotePrefix="0" xfId="0">
      <alignment vertical="center" wrapText="1"/>
    </xf>
    <xf numFmtId="164" fontId="5" fillId="3" borderId="0" pivotButton="0" quotePrefix="0" xfId="0"/>
    <xf numFmtId="164" fontId="8" fillId="0" borderId="0" pivotButton="0" quotePrefix="0" xfId="0"/>
    <xf numFmtId="0" fontId="2" fillId="0" borderId="0" applyAlignment="1" pivotButton="0" quotePrefix="0" xfId="0">
      <alignment vertical="top" wrapText="1"/>
    </xf>
    <xf numFmtId="165" fontId="5" fillId="3" borderId="0" pivotButton="0" quotePrefix="0" xfId="0"/>
    <xf numFmtId="165" fontId="8" fillId="0" borderId="0" pivotButton="0" quotePrefix="0" xfId="0"/>
    <xf numFmtId="166" fontId="5" fillId="0" borderId="0" pivotButton="0" quotePrefix="0" xfId="0"/>
    <xf numFmtId="164" fontId="5" fillId="0" borderId="0" pivotButton="0" quotePrefix="0" xfId="0"/>
    <xf numFmtId="167" fontId="5" fillId="0" borderId="0" pivotButton="0" quotePrefix="0" xfId="0"/>
    <xf numFmtId="165" fontId="5" fillId="0" borderId="0" pivotButton="0" quotePrefix="0" xfId="0"/>
    <xf numFmtId="168" fontId="5" fillId="0" borderId="0" pivotButton="0" quotePrefix="0" xfId="0"/>
    <xf numFmtId="169" fontId="5" fillId="0" borderId="0" pivotButton="0" quotePrefix="0" xfId="0"/>
    <xf numFmtId="170" fontId="5" fillId="0" borderId="0" pivotButton="0" quotePrefix="0" xfId="0"/>
    <xf numFmtId="165" fontId="9" fillId="0" borderId="0" pivotButton="0" quotePrefix="0" xfId="0"/>
    <xf numFmtId="0" fontId="4" fillId="5" borderId="0" pivotButton="0" quotePrefix="0" xfId="0"/>
    <xf numFmtId="165" fontId="8" fillId="5" borderId="1" pivotButton="0" quotePrefix="0" xfId="0"/>
    <xf numFmtId="166" fontId="11" fillId="0" borderId="0" pivotButton="0" quotePrefix="0" xfId="0"/>
    <xf numFmtId="164" fontId="11" fillId="0" borderId="0" pivotButton="0" quotePrefix="0" xfId="0"/>
    <xf numFmtId="0" fontId="6" fillId="4" borderId="0" applyAlignment="1" pivotButton="0" quotePrefix="0" xfId="0">
      <alignment horizontal="center"/>
    </xf>
    <xf numFmtId="166" fontId="9" fillId="0" borderId="0" pivotButton="0" quotePrefix="0" xfId="0"/>
    <xf numFmtId="169" fontId="9" fillId="0" borderId="0" pivotButton="0" quotePrefix="0" xfId="0"/>
    <xf numFmtId="171" fontId="9" fillId="0" borderId="0" pivotButton="0" quotePrefix="0" xfId="0"/>
    <xf numFmtId="169" fontId="8" fillId="5" borderId="1" pivotButton="0" quotePrefix="0" xfId="0"/>
    <xf numFmtId="166" fontId="8" fillId="5" borderId="1" pivotButton="0" quotePrefix="0" xfId="0"/>
    <xf numFmtId="167" fontId="8" fillId="0" borderId="0" pivotButton="0" quotePrefix="0" xfId="0"/>
    <xf numFmtId="169" fontId="8" fillId="0" borderId="0" pivotButton="0" quotePrefix="0" xfId="0"/>
    <xf numFmtId="1" fontId="9" fillId="0" borderId="0" pivotButton="0" quotePrefix="0" xfId="0"/>
    <xf numFmtId="166" fontId="8" fillId="0" borderId="0" pivotButton="0" quotePrefix="0" xfId="0"/>
    <xf numFmtId="165" fontId="8" fillId="0" borderId="1" pivotButton="0" quotePrefix="0" xfId="0"/>
    <xf numFmtId="164" fontId="8" fillId="5" borderId="0" pivotButton="0" quotePrefix="0" xfId="0"/>
    <xf numFmtId="165" fontId="8" fillId="5" borderId="0" pivotButton="0" quotePrefix="0" xfId="0"/>
    <xf numFmtId="168" fontId="8" fillId="5" borderId="0" pivotButton="0" quotePrefix="0" xfId="0"/>
    <xf numFmtId="167" fontId="8" fillId="5" borderId="0" pivotButton="0" quotePrefix="0" xfId="0"/>
    <xf numFmtId="0" fontId="4" fillId="0" borderId="0" applyAlignment="1" pivotButton="0" quotePrefix="0" xfId="0">
      <alignment vertical="top" wrapText="1"/>
    </xf>
    <xf numFmtId="4" fontId="5" fillId="0" borderId="0" pivotButton="0" quotePrefix="0" xfId="0"/>
    <xf numFmtId="0" fontId="5" fillId="0" borderId="0" applyAlignment="1" pivotButton="0" quotePrefix="0" xfId="0">
      <alignment horizontal="center"/>
    </xf>
    <xf numFmtId="0" fontId="8" fillId="0" borderId="0" pivotButton="0" quotePrefix="0" xfId="0"/>
    <xf numFmtId="169" fontId="11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90" customWidth="1" min="3" max="3"/>
  </cols>
  <sheetData>
    <row r="1">
      <c r="A1" s="1" t="inlineStr">
        <is>
          <t>Financial &amp; NFR Workbook: CloudScale AIOps Auto-Healing Platform (Pod 2)</t>
        </is>
      </c>
    </row>
    <row r="2">
      <c r="A2" s="2" t="inlineStr">
        <is>
          <t>Capstone Artifact 4: 3-year TCO, token economics &amp; model routing, NFR SLA matrix.</t>
        </is>
      </c>
    </row>
    <row r="4">
      <c r="A4" s="3" t="inlineStr">
        <is>
          <t>Formulas from the Capstone brief (§4, Artifact 4)</t>
        </is>
      </c>
      <c r="B4" s="4" t="n"/>
      <c r="C4" s="4" t="n"/>
    </row>
    <row r="5">
      <c r="A5" s="5" t="inlineStr">
        <is>
          <t>TCO = Compute_infra + Token_cost + Ops_overhead</t>
        </is>
      </c>
    </row>
    <row r="6">
      <c r="A6" s="5" t="inlineStr">
        <is>
          <t>Token_cost = N_requests × ((T_in × P_in) + (T_out × P_out)) × (1 − Cache_ratio)</t>
        </is>
      </c>
    </row>
    <row r="7">
      <c r="A7" s="2" t="inlineStr">
        <is>
          <t>Metrics tracked (brief §2): T_lat (latency per task) · Tokens/sec · CR (cache hit ratio) · FR (tool failure rate) · HITL when confidence C &lt; 0.85 · NFR targets p95 &lt; 3.5 s, availability 99.9%.</t>
        </is>
      </c>
    </row>
    <row r="9">
      <c r="A9" s="3" t="inlineStr">
        <is>
          <t>Headline results (active scenario, live formulas)</t>
        </is>
      </c>
      <c r="B9" s="4" t="n"/>
      <c r="C9" s="4" t="n"/>
    </row>
    <row r="10">
      <c r="A10" s="6" t="inlineStr">
        <is>
          <t>Active scenario</t>
        </is>
      </c>
      <c r="B10" s="7">
        <f>Assumptions!$B$5</f>
        <v/>
      </c>
    </row>
    <row r="11">
      <c r="A11" s="6" t="inlineStr">
        <is>
          <t>3-year TCO</t>
        </is>
      </c>
      <c r="B11" s="8">
        <f>'TCO &amp; ROI'!E30</f>
        <v/>
      </c>
    </row>
    <row r="12">
      <c r="A12" s="6" t="inlineStr">
        <is>
          <t>3-year benefits</t>
        </is>
      </c>
      <c r="B12" s="8">
        <f>'TCO &amp; ROI'!E37</f>
        <v/>
      </c>
    </row>
    <row r="13">
      <c r="A13" s="6" t="inlineStr">
        <is>
          <t>3-year ROI</t>
        </is>
      </c>
      <c r="B13" s="9">
        <f>'TCO &amp; ROI'!$B$45</f>
        <v/>
      </c>
    </row>
    <row r="14">
      <c r="A14" s="6" t="inlineStr">
        <is>
          <t>NPV of net benefit</t>
        </is>
      </c>
      <c r="B14" s="8">
        <f>'TCO &amp; ROI'!$B$46</f>
        <v/>
      </c>
    </row>
    <row r="15">
      <c r="A15" s="6" t="inlineStr">
        <is>
          <t>Payback (months)</t>
        </is>
      </c>
      <c r="B15" s="10">
        <f>'TCO &amp; ROI'!$B$48</f>
        <v/>
      </c>
    </row>
    <row r="16">
      <c r="A16" s="6" t="inlineStr">
        <is>
          <t>Token optimisation savings (ADR 03)</t>
        </is>
      </c>
      <c r="B16" s="9">
        <f>'Token Economics'!$B$25</f>
        <v/>
      </c>
    </row>
    <row r="17">
      <c r="A17" s="6" t="inlineStr">
        <is>
          <t>Token_cost share of 3-year TCO</t>
        </is>
      </c>
      <c r="B17" s="9">
        <f>'TCO &amp; ROI'!$B$50</f>
        <v/>
      </c>
    </row>
    <row r="18">
      <c r="A18" s="6" t="inlineStr">
        <is>
          <t>Break-even P1 downtime cost ($/h)</t>
        </is>
      </c>
      <c r="B18" s="8">
        <f>'TCO &amp; ROI'!$B$61</f>
        <v/>
      </c>
    </row>
    <row r="19">
      <c r="A19" s="6" t="inlineStr">
        <is>
          <t>NFRs met / not met / not measured</t>
        </is>
      </c>
      <c r="B19" s="7">
        <f>'NFR SLA Matrix'!G21&amp;" / "&amp;'NFR SLA Matrix'!G22&amp;" / "&amp;'NFR SLA Matrix'!G23</f>
        <v/>
      </c>
    </row>
    <row r="21">
      <c r="A21" s="3" t="inlineStr">
        <is>
          <t>How to use</t>
        </is>
      </c>
      <c r="B21" s="4" t="n"/>
      <c r="C21" s="4" t="n"/>
    </row>
    <row r="22">
      <c r="A22" s="11" t="inlineStr">
        <is>
          <t>Assumptions</t>
        </is>
      </c>
      <c r="C22" s="12" t="inlineStr">
        <is>
          <t>Change blue inputs; yellow cells are the key levers. Switch the scenario in Assumptions!B5.</t>
        </is>
      </c>
    </row>
    <row r="23">
      <c r="A23" s="11" t="inlineStr">
        <is>
          <t>Token Economics</t>
        </is>
      </c>
      <c r="C23" s="12" t="inlineStr">
        <is>
          <t>Per-task workload and routing table. Change Tier (Tier 1 / Tier 2) or Cache_ratio per task to test routing decisions; the brief's Token_cost formula is applied on every row.</t>
        </is>
      </c>
    </row>
    <row r="24">
      <c r="A24" s="11" t="inlineStr">
        <is>
          <t>TCO &amp; ROI</t>
        </is>
      </c>
      <c r="C24" s="12" t="inlineStr">
        <is>
          <t>3-year roll-up with the brief's TCO formula, benefits, ROI, NPV, payback, and a side-by-side scenario sensitivity with break-even downtime cost.</t>
        </is>
      </c>
    </row>
    <row r="25">
      <c r="A25" s="11" t="inlineStr">
        <is>
          <t>NFR SLA Matrix</t>
        </is>
      </c>
      <c r="C25" s="12" t="inlineStr">
        <is>
          <t>Targets vs. measured prototype values; status is computed (MET / NOT MET / NOT MEASURED).</t>
        </is>
      </c>
    </row>
    <row r="27">
      <c r="A27" s="3" t="inlineStr">
        <is>
          <t>Legend</t>
        </is>
      </c>
      <c r="B27" s="4" t="n"/>
      <c r="C27" s="4" t="n"/>
    </row>
    <row r="28">
      <c r="A28" s="13" t="inlineStr">
        <is>
          <t>1,200</t>
        </is>
      </c>
      <c r="C28" s="6" t="inlineStr">
        <is>
          <t>Blue: hardcoded input (change freely)</t>
        </is>
      </c>
    </row>
    <row r="29">
      <c r="A29" s="14" t="inlineStr">
        <is>
          <t>0.30</t>
        </is>
      </c>
      <c r="C29" s="6" t="inlineStr">
        <is>
          <t>Yellow fill: key lever / scenario assumption</t>
        </is>
      </c>
    </row>
    <row r="30">
      <c r="A30" s="15">
        <f>B5*12</f>
        <v/>
      </c>
      <c r="C30" s="6" t="inlineStr">
        <is>
          <t>Black: formula on the same sheet</t>
        </is>
      </c>
    </row>
    <row r="31">
      <c r="A31" s="16">
        <f>Assumptions!B19</f>
        <v/>
      </c>
      <c r="C31" s="6" t="inlineStr">
        <is>
          <t>Green: link to another sheet</t>
        </is>
      </c>
    </row>
    <row r="33">
      <c r="A33" s="3" t="inlineStr">
        <is>
          <t>Caveats</t>
        </is>
      </c>
      <c r="B33" s="4" t="n"/>
      <c r="C33" s="4" t="n"/>
    </row>
    <row r="34">
      <c r="A34" s="6" t="inlineStr">
        <is>
          <t>• Volumes, downtime cost, MTTR reduction and coverage are Pod assumptions, not CloudScale data. Replace with Finance/SRE figures.</t>
        </is>
      </c>
    </row>
    <row r="35">
      <c r="A35" s="6" t="inlineStr">
        <is>
          <t>• Model and cloud prices are list prices at the time of writing; verify before presenting.</t>
        </is>
      </c>
    </row>
    <row r="36">
      <c r="A36" s="6" t="inlineStr">
        <is>
          <t>• Prototype measurements use a deterministic MockLLM and simulated clusters; latency and token figures must be re-measured with real models.</t>
        </is>
      </c>
    </row>
    <row r="37">
      <c r="A37" s="6" t="inlineStr">
        <is>
          <t>• Benefits exclude harder-to-quantify items (retention of on-call staff, SLA penalties avoided beyond downtime cost, audit effort saved).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70" customWidth="1" min="7" max="7"/>
  </cols>
  <sheetData>
    <row r="1">
      <c r="A1" s="1" t="inlineStr">
        <is>
          <t>Assumptions &amp; Inputs: Pod 2 AIOps Auto-Healing Platform</t>
        </is>
      </c>
    </row>
    <row r="2">
      <c r="A2" s="2" t="inlineStr">
        <is>
          <t>Blue text = input you can change · Yellow fill = key lever · Black = formula · Green = link from another sheet. Every hardcoded number has its source or rationale in the last column.</t>
        </is>
      </c>
    </row>
    <row r="4">
      <c r="A4" s="3" t="inlineStr">
        <is>
          <t>1. Scenario selector</t>
        </is>
      </c>
      <c r="B4" s="4" t="n"/>
      <c r="C4" s="4" t="n"/>
      <c r="D4" s="4" t="n"/>
      <c r="E4" s="4" t="n"/>
      <c r="F4" s="4" t="n"/>
      <c r="G4" s="4" t="n"/>
    </row>
    <row r="5">
      <c r="A5" s="11" t="inlineStr">
        <is>
          <t>Active scenario (choose Conservative / Base / Optimistic)</t>
        </is>
      </c>
      <c r="B5" s="14" t="inlineStr">
        <is>
          <t>Base</t>
        </is>
      </c>
      <c r="G5" s="2" t="inlineStr">
        <is>
          <t>Drives column E of the lever table below; every sheet recalculates.</t>
        </is>
      </c>
    </row>
    <row r="7">
      <c r="A7" s="3" t="inlineStr">
        <is>
          <t>2. Key levers by scenario (these drive the ROI)</t>
        </is>
      </c>
      <c r="B7" s="4" t="n"/>
      <c r="C7" s="4" t="n"/>
      <c r="D7" s="4" t="n"/>
      <c r="E7" s="4" t="n"/>
      <c r="F7" s="4" t="n"/>
      <c r="G7" s="4" t="n"/>
    </row>
    <row r="8">
      <c r="A8" s="17" t="inlineStr">
        <is>
          <t>Parameter</t>
        </is>
      </c>
      <c r="B8" s="17" t="inlineStr">
        <is>
          <t>Conservative</t>
        </is>
      </c>
      <c r="C8" s="17" t="inlineStr">
        <is>
          <t>Base</t>
        </is>
      </c>
      <c r="D8" s="17" t="inlineStr">
        <is>
          <t>Optimistic</t>
        </is>
      </c>
      <c r="E8" s="17" t="inlineStr">
        <is>
          <t>Active</t>
        </is>
      </c>
      <c r="F8" s="17" t="inlineStr">
        <is>
          <t>Unit</t>
        </is>
      </c>
      <c r="G8" s="17" t="inlineStr">
        <is>
          <t>Source / rationale</t>
        </is>
      </c>
    </row>
    <row r="9">
      <c r="A9" s="6" t="inlineStr">
        <is>
          <t>Incidents fully auto-remediated (READ / NON_DESTRUCTIVE, C ≥ 0.85)</t>
        </is>
      </c>
      <c r="B9" s="18" t="n">
        <v>0.2</v>
      </c>
      <c r="C9" s="18" t="n">
        <v>0.3</v>
      </c>
      <c r="D9" s="18" t="n">
        <v>0.4</v>
      </c>
      <c r="E9" s="19">
        <f>INDEX($B9:$D9,MATCH($B$5,$B$8:$D$8,0))</f>
        <v/>
      </c>
      <c r="F9" s="6" t="inlineStr">
        <is>
          <t>% of incidents</t>
        </is>
      </c>
      <c r="G9" s="20" t="inlineStr">
        <is>
          <t>Pod assumption. Prototype demo: 2 of 6 incidents auto-remediated (stale-cache ×2).</t>
        </is>
      </c>
    </row>
    <row r="10">
      <c r="A10" s="6" t="inlineStr">
        <is>
          <t>Incidents HITL-assisted (DESTRUCTIVE, SRE-approved)</t>
        </is>
      </c>
      <c r="B10" s="18" t="n">
        <v>0.25</v>
      </c>
      <c r="C10" s="18" t="n">
        <v>0.3</v>
      </c>
      <c r="D10" s="18" t="n">
        <v>0.35</v>
      </c>
      <c r="E10" s="19">
        <f>INDEX($B10:$D10,MATCH($B$5,$B$8:$D$8,0))</f>
        <v/>
      </c>
      <c r="F10" s="6" t="inlineStr">
        <is>
          <t>% of incidents</t>
        </is>
      </c>
      <c r="G10" s="20" t="inlineStr">
        <is>
          <t>Pod assumption. Prototype demo: 3 of 6 incidents approved via the HITL gate.</t>
        </is>
      </c>
    </row>
    <row r="11">
      <c r="A11" s="6" t="inlineStr">
        <is>
          <t>MTTR reduction on covered incidents</t>
        </is>
      </c>
      <c r="B11" s="18" t="n">
        <v>0.3</v>
      </c>
      <c r="C11" s="18" t="n">
        <v>0.4</v>
      </c>
      <c r="D11" s="18" t="n">
        <v>0.55</v>
      </c>
      <c r="E11" s="19">
        <f>INDEX($B11:$D11,MATCH($B$5,$B$8:$D$8,0))</f>
        <v/>
      </c>
      <c r="F11" s="6" t="inlineStr">
        <is>
          <t>%</t>
        </is>
      </c>
      <c r="G11" s="20" t="inlineStr">
        <is>
          <t>Pod assumption: triage + RCA + plan drafted in minutes instead of manual diagnosis; validate in pilot.</t>
        </is>
      </c>
    </row>
    <row r="12">
      <c r="A12" s="6" t="inlineStr">
        <is>
          <t>Business cost of one P1 hour</t>
        </is>
      </c>
      <c r="B12" s="21" t="n">
        <v>5000</v>
      </c>
      <c r="C12" s="21" t="n">
        <v>8000</v>
      </c>
      <c r="D12" s="21" t="n">
        <v>15000</v>
      </c>
      <c r="E12" s="22">
        <f>INDEX($B12:$D12,MATCH($B$5,$B$8:$D$8,0))</f>
        <v/>
      </c>
      <c r="F12" s="6" t="inlineStr">
        <is>
          <t>$ / hour</t>
        </is>
      </c>
      <c r="G12" s="20" t="inlineStr">
        <is>
          <t>Pod assumption (revenue loss + SLA credits). CloudScale Finance to confirm; most sensitive input.</t>
        </is>
      </c>
    </row>
    <row r="13">
      <c r="A13" s="6" t="inlineStr">
        <is>
          <t>Share of MTTR gain attributed to this platform</t>
        </is>
      </c>
      <c r="B13" s="18" t="n">
        <v>0.4</v>
      </c>
      <c r="C13" s="18" t="n">
        <v>0.5</v>
      </c>
      <c r="D13" s="18" t="n">
        <v>0.6</v>
      </c>
      <c r="E13" s="19">
        <f>INDEX($B13:$D13,MATCH($B$5,$B$8:$D$8,0))</f>
        <v/>
      </c>
      <c r="F13" s="6" t="inlineStr">
        <is>
          <t>%</t>
        </is>
      </c>
      <c r="G13" s="20" t="inlineStr">
        <is>
          <t>Conservatism factor: part of any MTTR gain comes from other process changes.</t>
        </is>
      </c>
    </row>
    <row r="14">
      <c r="A14" s="6" t="inlineStr">
        <is>
          <t>Responder toil reduction on covered incidents</t>
        </is>
      </c>
      <c r="B14" s="18" t="n">
        <v>0.3</v>
      </c>
      <c r="C14" s="18" t="n">
        <v>0.4</v>
      </c>
      <c r="D14" s="18" t="n">
        <v>0.55</v>
      </c>
      <c r="E14" s="19">
        <f>INDEX($B14:$D14,MATCH($B$5,$B$8:$D$8,0))</f>
        <v/>
      </c>
      <c r="F14" s="6" t="inlineStr">
        <is>
          <t>%</t>
        </is>
      </c>
      <c r="G14" s="20" t="inlineStr">
        <is>
          <t>Pod assumption: fewer engineers paged, diagnostics pre-collected by the Triage agent.</t>
        </is>
      </c>
    </row>
    <row r="15">
      <c r="A15" s="6" t="inlineStr">
        <is>
          <t>Human-reviewed alerts auto-triaged / de-duplicated</t>
        </is>
      </c>
      <c r="B15" s="18" t="n">
        <v>0.45</v>
      </c>
      <c r="C15" s="18" t="n">
        <v>0.6</v>
      </c>
      <c r="D15" s="18" t="n">
        <v>0.75</v>
      </c>
      <c r="E15" s="19">
        <f>INDEX($B15:$D15,MATCH($B$5,$B$8:$D$8,0))</f>
        <v/>
      </c>
      <c r="F15" s="6" t="inlineStr">
        <is>
          <t>%</t>
        </is>
      </c>
      <c r="G15" s="20" t="inlineStr">
        <is>
          <t>Pod assumption: alert-storm de-duplication via classification + semantic cache (ADR 03).</t>
        </is>
      </c>
    </row>
    <row r="16">
      <c r="A16" s="6" t="inlineStr">
        <is>
          <t>Soft-savings realisation (freed hours turned into value)</t>
        </is>
      </c>
      <c r="B16" s="18" t="n">
        <v>0.35</v>
      </c>
      <c r="C16" s="18" t="n">
        <v>0.5</v>
      </c>
      <c r="D16" s="18" t="n">
        <v>0.65</v>
      </c>
      <c r="E16" s="19">
        <f>INDEX($B16:$D16,MATCH($B$5,$B$8:$D$8,0))</f>
        <v/>
      </c>
      <c r="F16" s="6" t="inlineStr">
        <is>
          <t>%</t>
        </is>
      </c>
      <c r="G16" s="20" t="inlineStr">
        <is>
          <t>Freed engineer time is capacity, not cash: only this share is counted in toil and alert-triage benefits.</t>
        </is>
      </c>
    </row>
    <row r="18">
      <c r="A18" s="3" t="inlineStr">
        <is>
          <t>3. Volume &amp; operations (Year 1 baseline)</t>
        </is>
      </c>
      <c r="B18" s="4" t="n"/>
      <c r="C18" s="4" t="n"/>
      <c r="D18" s="4" t="n"/>
      <c r="E18" s="4" t="n"/>
      <c r="F18" s="4" t="n"/>
      <c r="G18" s="4" t="n"/>
    </row>
    <row r="19">
      <c r="A19" s="17" t="inlineStr">
        <is>
          <t>Parameter</t>
        </is>
      </c>
      <c r="B19" s="17" t="inlineStr">
        <is>
          <t>Value</t>
        </is>
      </c>
      <c r="C19" s="17" t="inlineStr">
        <is>
          <t>Unit</t>
        </is>
      </c>
      <c r="D19" s="17" t="inlineStr"/>
      <c r="E19" s="17" t="inlineStr"/>
      <c r="F19" s="17" t="inlineStr"/>
      <c r="G19" s="17" t="inlineStr">
        <is>
          <t>Source / rationale</t>
        </is>
      </c>
    </row>
    <row r="20">
      <c r="A20" s="6" t="inlineStr">
        <is>
          <t>Monitoring alerts per month (Prometheus / Datadog / CloudWatch)</t>
        </is>
      </c>
      <c r="B20" s="23" t="n">
        <v>150000</v>
      </c>
      <c r="C20" s="6" t="inlineStr">
        <is>
          <t>alerts / month</t>
        </is>
      </c>
      <c r="G20" s="20" t="inlineStr">
        <is>
          <t>Pod assumption for a global multi-cloud estate (AWS + Azure).</t>
        </is>
      </c>
    </row>
    <row r="21">
      <c r="A21" s="6" t="inlineStr">
        <is>
          <t>Actionable incidents per month (all severities)</t>
        </is>
      </c>
      <c r="B21" s="23" t="n">
        <v>600</v>
      </c>
      <c r="C21" s="6" t="inlineStr">
        <is>
          <t>incidents / month</t>
        </is>
      </c>
      <c r="G21" s="20" t="inlineStr">
        <is>
          <t>Pod assumption: incidents that need diagnosis and a remediation decision.</t>
        </is>
      </c>
    </row>
    <row r="22">
      <c r="A22" s="6" t="inlineStr">
        <is>
          <t>Share of incidents that are P1 / P2</t>
        </is>
      </c>
      <c r="B22" s="24" t="n">
        <v>0.1</v>
      </c>
      <c r="C22" s="6" t="inlineStr">
        <is>
          <t>%</t>
        </is>
      </c>
      <c r="G22" s="20" t="inlineStr">
        <is>
          <t>Pod assumption; brief targets P1/P2 MTTR.</t>
        </is>
      </c>
    </row>
    <row r="23">
      <c r="A23" s="6" t="inlineStr">
        <is>
          <t>P1 share within P1 / P2 incidents</t>
        </is>
      </c>
      <c r="B23" s="24" t="n">
        <v>0.25</v>
      </c>
      <c r="C23" s="6" t="inlineStr">
        <is>
          <t>%</t>
        </is>
      </c>
      <c r="G23" s="20" t="inlineStr">
        <is>
          <t>Pod assumption.</t>
        </is>
      </c>
    </row>
    <row r="24">
      <c r="A24" s="6" t="inlineStr">
        <is>
          <t>Annual growth in alert and incident volume</t>
        </is>
      </c>
      <c r="B24" s="24" t="n">
        <v>0.15</v>
      </c>
      <c r="C24" s="6" t="inlineStr">
        <is>
          <t>% / year</t>
        </is>
      </c>
      <c r="G24" s="20" t="inlineStr">
        <is>
          <t>Pod assumption (estate growth).</t>
        </is>
      </c>
    </row>
    <row r="25">
      <c r="A25" s="6" t="inlineStr">
        <is>
          <t>Share of alerts that need a human look today</t>
        </is>
      </c>
      <c r="B25" s="24" t="n">
        <v>0.15</v>
      </c>
      <c r="C25" s="6" t="inlineStr">
        <is>
          <t>%</t>
        </is>
      </c>
      <c r="G25" s="20" t="inlineStr">
        <is>
          <t>Pod assumption; the rest are auto-closed or ignored.</t>
        </is>
      </c>
    </row>
    <row r="26">
      <c r="A26" s="6" t="inlineStr">
        <is>
          <t>Minutes per human-reviewed alert</t>
        </is>
      </c>
      <c r="B26" s="25" t="n">
        <v>2</v>
      </c>
      <c r="C26" s="6" t="inlineStr">
        <is>
          <t>minutes</t>
        </is>
      </c>
      <c r="G26" s="20" t="inlineStr">
        <is>
          <t>Pod assumption.</t>
        </is>
      </c>
    </row>
    <row r="27">
      <c r="A27" s="6" t="inlineStr">
        <is>
          <t>Baseline MTTR, P1</t>
        </is>
      </c>
      <c r="B27" s="25" t="n">
        <v>3</v>
      </c>
      <c r="C27" s="6" t="inlineStr">
        <is>
          <t>hours</t>
        </is>
      </c>
      <c r="G27" s="20" t="inlineStr">
        <is>
          <t>Pod assumption (current state, manual diagnosis).</t>
        </is>
      </c>
    </row>
    <row r="28">
      <c r="A28" s="6" t="inlineStr">
        <is>
          <t>Baseline MTTR, P2</t>
        </is>
      </c>
      <c r="B28" s="25" t="n">
        <v>6</v>
      </c>
      <c r="C28" s="6" t="inlineStr">
        <is>
          <t>hours</t>
        </is>
      </c>
      <c r="G28" s="20" t="inlineStr">
        <is>
          <t>Pod assumption (current state).</t>
        </is>
      </c>
    </row>
    <row r="29">
      <c r="A29" s="6" t="inlineStr">
        <is>
          <t>P2 business impact relative to a P1 hour</t>
        </is>
      </c>
      <c r="B29" s="24" t="n">
        <v>0.1</v>
      </c>
      <c r="C29" s="6" t="inlineStr">
        <is>
          <t>x of P1 cost</t>
        </is>
      </c>
      <c r="G29" s="20" t="inlineStr">
        <is>
          <t>Pod assumption: P2 = degraded service, not outage.</t>
        </is>
      </c>
    </row>
    <row r="30">
      <c r="A30" s="6" t="inlineStr">
        <is>
          <t>Responder hours per incident (all engineers involved)</t>
        </is>
      </c>
      <c r="B30" s="25" t="n">
        <v>3</v>
      </c>
      <c r="C30" s="6" t="inlineStr">
        <is>
          <t>hours</t>
        </is>
      </c>
      <c r="G30" s="20" t="inlineStr">
        <is>
          <t>Pod assumption.</t>
        </is>
      </c>
    </row>
    <row r="31">
      <c r="A31" s="6" t="inlineStr">
        <is>
          <t>Loaded SRE cost per hour</t>
        </is>
      </c>
      <c r="B31" s="26" t="n">
        <v>95</v>
      </c>
      <c r="C31" s="6" t="inlineStr">
        <is>
          <t>$ / hour</t>
        </is>
      </c>
      <c r="G31" s="20" t="inlineStr">
        <is>
          <t>Equals $190k loaded FTE / ~2,000 h. Pod assumption.</t>
        </is>
      </c>
    </row>
    <row r="32">
      <c r="A32" s="6" t="inlineStr">
        <is>
          <t>SRE review time per HITL approval</t>
        </is>
      </c>
      <c r="B32" s="25" t="n">
        <v>10</v>
      </c>
      <c r="C32" s="6" t="inlineStr">
        <is>
          <t>minutes</t>
        </is>
      </c>
      <c r="G32" s="20" t="inlineStr">
        <is>
          <t>Pod assumption: approval card carries RCA, diff, blast radius, rollback.</t>
        </is>
      </c>
    </row>
    <row r="33">
      <c r="A33" s="6" t="inlineStr">
        <is>
          <t>Adoption ramp, Year 1 (share of estate onboarded)</t>
        </is>
      </c>
      <c r="B33" s="24" t="n">
        <v>0.5</v>
      </c>
      <c r="C33" s="6" t="inlineStr">
        <is>
          <t>%</t>
        </is>
      </c>
      <c r="G33" s="20" t="inlineStr">
        <is>
          <t>Phased rollout: pilot clusters first.</t>
        </is>
      </c>
    </row>
    <row r="34">
      <c r="A34" s="6" t="inlineStr">
        <is>
          <t>Adoption ramp, Year 2</t>
        </is>
      </c>
      <c r="B34" s="24" t="n">
        <v>0.85</v>
      </c>
      <c r="C34" s="6" t="inlineStr">
        <is>
          <t>%</t>
        </is>
      </c>
      <c r="G34" s="20" t="inlineStr">
        <is>
          <t>Pod assumption.</t>
        </is>
      </c>
    </row>
    <row r="35">
      <c r="A35" s="6" t="inlineStr">
        <is>
          <t>Adoption ramp, Year 3</t>
        </is>
      </c>
      <c r="B35" s="24" t="n">
        <v>1</v>
      </c>
      <c r="C35" s="6" t="inlineStr">
        <is>
          <t>%</t>
        </is>
      </c>
      <c r="G35" s="20" t="inlineStr">
        <is>
          <t>Pod assumption.</t>
        </is>
      </c>
    </row>
    <row r="36">
      <c r="A36" s="6" t="inlineStr">
        <is>
          <t>Discount rate for NPV</t>
        </is>
      </c>
      <c r="B36" s="24" t="n">
        <v>0.1</v>
      </c>
      <c r="C36" s="6" t="inlineStr">
        <is>
          <t>% / year</t>
        </is>
      </c>
      <c r="G36" s="20" t="inlineStr">
        <is>
          <t>Pod assumption (typical corporate hurdle rate).</t>
        </is>
      </c>
    </row>
    <row r="37">
      <c r="A37" s="6" t="inlineStr">
        <is>
          <t>Peak-to-average traffic factor (alert storms)</t>
        </is>
      </c>
      <c r="B37" s="27" t="n">
        <v>6</v>
      </c>
      <c r="C37" s="6" t="inlineStr">
        <is>
          <t>x</t>
        </is>
      </c>
      <c r="G37" s="20" t="inlineStr">
        <is>
          <t>Pod assumption for capacity planning.</t>
        </is>
      </c>
    </row>
    <row r="38">
      <c r="A38" s="6" t="inlineStr">
        <is>
          <t>Tier-1 → Tier-2 escalation rate</t>
        </is>
      </c>
      <c r="B38" s="24" t="n">
        <v>0.1</v>
      </c>
      <c r="C38" s="6" t="inlineStr">
        <is>
          <t>% of Tier-1 calls</t>
        </is>
      </c>
      <c r="G38" s="20" t="inlineStr">
        <is>
          <t>ADR 03: Tier-1 answers with confidence &lt; 0.7 are retried on Tier 2.</t>
        </is>
      </c>
    </row>
    <row r="39">
      <c r="A39" s="6" t="inlineStr">
        <is>
          <t>Annual growth in infrastructure cost</t>
        </is>
      </c>
      <c r="B39" s="24" t="n">
        <v>0.1</v>
      </c>
      <c r="C39" s="6" t="inlineStr">
        <is>
          <t>% / year</t>
        </is>
      </c>
      <c r="G39" s="20" t="inlineStr">
        <is>
          <t>Pod assumption (scales with estate).</t>
        </is>
      </c>
    </row>
    <row r="40">
      <c r="A40" s="6" t="inlineStr">
        <is>
          <t>Provisioned LLM throughput quota</t>
        </is>
      </c>
      <c r="B40" s="23" t="n">
        <v>20000</v>
      </c>
      <c r="C40" s="6" t="inlineStr">
        <is>
          <t>tokens / sec</t>
        </is>
      </c>
      <c r="G40" s="20" t="inlineStr">
        <is>
          <t>Pod assumption (provider rate limit to request); checked in NFR matrix.</t>
        </is>
      </c>
    </row>
    <row r="42">
      <c r="A42" s="3" t="inlineStr">
        <is>
          <t>4. LLM pricing ($ per 1M tokens)</t>
        </is>
      </c>
      <c r="B42" s="4" t="n"/>
      <c r="C42" s="4" t="n"/>
      <c r="D42" s="4" t="n"/>
      <c r="E42" s="4" t="n"/>
      <c r="F42" s="4" t="n"/>
      <c r="G42" s="4" t="n"/>
    </row>
    <row r="43">
      <c r="A43" s="17" t="inlineStr">
        <is>
          <t>Parameter</t>
        </is>
      </c>
      <c r="B43" s="17" t="inlineStr">
        <is>
          <t>Value</t>
        </is>
      </c>
      <c r="C43" s="17" t="inlineStr">
        <is>
          <t>Unit</t>
        </is>
      </c>
      <c r="D43" s="17" t="inlineStr"/>
      <c r="E43" s="17" t="inlineStr"/>
      <c r="F43" s="17" t="inlineStr"/>
      <c r="G43" s="17" t="inlineStr">
        <is>
          <t>Source / rationale</t>
        </is>
      </c>
    </row>
    <row r="44">
      <c r="A44" s="6" t="inlineStr">
        <is>
          <t>Tier 1 (small/fast, e.g. GPT-4o-mini): input</t>
        </is>
      </c>
      <c r="B44" s="28" t="n">
        <v>0.15</v>
      </c>
      <c r="C44" s="6" t="inlineStr">
        <is>
          <t>$ / 1M tokens</t>
        </is>
      </c>
      <c r="G44" s="20" t="inlineStr">
        <is>
          <t>Provider list price used for this model; verify current pricing before presenting.</t>
        </is>
      </c>
    </row>
    <row r="45">
      <c r="A45" s="6" t="inlineStr">
        <is>
          <t>Tier 1: output</t>
        </is>
      </c>
      <c r="B45" s="28" t="n">
        <v>0.6</v>
      </c>
      <c r="C45" s="6" t="inlineStr">
        <is>
          <t>$ / 1M tokens</t>
        </is>
      </c>
      <c r="G45" s="20" t="inlineStr">
        <is>
          <t>As above.</t>
        </is>
      </c>
    </row>
    <row r="46">
      <c r="A46" s="6" t="inlineStr">
        <is>
          <t>Tier 2 (large/reasoning, e.g. GPT-4o): input</t>
        </is>
      </c>
      <c r="B46" s="28" t="n">
        <v>2.5</v>
      </c>
      <c r="C46" s="6" t="inlineStr">
        <is>
          <t>$ / 1M tokens</t>
        </is>
      </c>
      <c r="G46" s="20" t="inlineStr">
        <is>
          <t>As above.</t>
        </is>
      </c>
    </row>
    <row r="47">
      <c r="A47" s="6" t="inlineStr">
        <is>
          <t>Tier 2: output</t>
        </is>
      </c>
      <c r="B47" s="28" t="n">
        <v>10</v>
      </c>
      <c r="C47" s="6" t="inlineStr">
        <is>
          <t>$ / 1M tokens</t>
        </is>
      </c>
      <c r="G47" s="20" t="inlineStr">
        <is>
          <t>As above.</t>
        </is>
      </c>
    </row>
    <row r="48">
      <c r="A48" s="6" t="inlineStr">
        <is>
          <t>Embeddings for semantic cache (e.g. text-embedding-3-small)</t>
        </is>
      </c>
      <c r="B48" s="28" t="n">
        <v>0.02</v>
      </c>
      <c r="C48" s="6" t="inlineStr">
        <is>
          <t>$ / 1M tokens</t>
        </is>
      </c>
      <c r="G48" s="20" t="inlineStr">
        <is>
          <t>As above.</t>
        </is>
      </c>
    </row>
    <row r="50">
      <c r="A50" s="3" t="inlineStr">
        <is>
          <t>5. Compute_infra components (monthly, Year 1)</t>
        </is>
      </c>
      <c r="B50" s="4" t="n"/>
      <c r="C50" s="4" t="n"/>
      <c r="D50" s="4" t="n"/>
      <c r="E50" s="4" t="n"/>
      <c r="F50" s="4" t="n"/>
      <c r="G50" s="4" t="n"/>
    </row>
    <row r="51">
      <c r="A51" s="17" t="inlineStr">
        <is>
          <t>Component</t>
        </is>
      </c>
      <c r="B51" s="17" t="inlineStr">
        <is>
          <t>Qty</t>
        </is>
      </c>
      <c r="C51" s="17" t="inlineStr">
        <is>
          <t>Unit cost ($)</t>
        </is>
      </c>
      <c r="D51" s="17" t="inlineStr">
        <is>
          <t>Hours / month</t>
        </is>
      </c>
      <c r="E51" s="17" t="inlineStr">
        <is>
          <t>Monthly cost ($)</t>
        </is>
      </c>
      <c r="F51" s="17" t="inlineStr">
        <is>
          <t>Basis</t>
        </is>
      </c>
      <c r="G51" s="17" t="inlineStr">
        <is>
          <t>Source / rationale</t>
        </is>
      </c>
    </row>
    <row r="52">
      <c r="A52" s="6" t="inlineStr">
        <is>
          <t>Amazon EKS control plane (agent runtime cluster)</t>
        </is>
      </c>
      <c r="B52" s="23" t="n">
        <v>1</v>
      </c>
      <c r="C52" s="29" t="n">
        <v>0.1</v>
      </c>
      <c r="D52" s="23" t="n">
        <v>730</v>
      </c>
      <c r="E52" s="30">
        <f>B52*C52*D52</f>
        <v/>
      </c>
      <c r="F52" s="6" t="inlineStr">
        <is>
          <t>per hour</t>
        </is>
      </c>
      <c r="G52" s="20" t="inlineStr">
        <is>
          <t>AWS EKS list price $0.10/cluster-hour.</t>
        </is>
      </c>
    </row>
    <row r="53">
      <c r="A53" s="6" t="inlineStr">
        <is>
          <t>EKS worker nodes (m6i.xlarge): orchestrator, MCP server, OPA, LiteLLM</t>
        </is>
      </c>
      <c r="B53" s="23" t="n">
        <v>4</v>
      </c>
      <c r="C53" s="29" t="n">
        <v>0.192</v>
      </c>
      <c r="D53" s="23" t="n">
        <v>730</v>
      </c>
      <c r="E53" s="30">
        <f>B53*C53*D53</f>
        <v/>
      </c>
      <c r="F53" s="6" t="inlineStr">
        <is>
          <t>per hour</t>
        </is>
      </c>
      <c r="G53" s="20" t="inlineStr">
        <is>
          <t>AWS on-demand list price (us-east-1, approx.); verify at aws.amazon.com/pricing.</t>
        </is>
      </c>
    </row>
    <row r="54">
      <c r="A54" s="6" t="inlineStr">
        <is>
          <t>ElastiCache Redis (r6g.large, HA pair): semantic cache + checkpointer</t>
        </is>
      </c>
      <c r="B54" s="23" t="n">
        <v>2</v>
      </c>
      <c r="C54" s="29" t="n">
        <v>0.206</v>
      </c>
      <c r="D54" s="23" t="n">
        <v>730</v>
      </c>
      <c r="E54" s="30">
        <f>B54*C54*D54</f>
        <v/>
      </c>
      <c r="F54" s="6" t="inlineStr">
        <is>
          <t>per hour</t>
        </is>
      </c>
      <c r="G54" s="20" t="inlineStr">
        <is>
          <t>AWS on-demand list price (approx.).</t>
        </is>
      </c>
    </row>
    <row r="55">
      <c r="A55" s="6" t="inlineStr">
        <is>
          <t>RDS PostgreSQL + pgvector (db.r6g.large, Multi-AZ)</t>
        </is>
      </c>
      <c r="B55" s="23" t="n">
        <v>2</v>
      </c>
      <c r="C55" s="29" t="n">
        <v>0.26</v>
      </c>
      <c r="D55" s="23" t="n">
        <v>730</v>
      </c>
      <c r="E55" s="30">
        <f>B55*C55*D55</f>
        <v/>
      </c>
      <c r="F55" s="6" t="inlineStr">
        <is>
          <t>per hour</t>
        </is>
      </c>
      <c r="G55" s="20" t="inlineStr">
        <is>
          <t>AWS on-demand list price (approx.).</t>
        </is>
      </c>
    </row>
    <row r="56">
      <c r="A56" s="6" t="inlineStr">
        <is>
          <t>Azure AKS footprint for MCP adapters (2 × D4s v5)</t>
        </is>
      </c>
      <c r="B56" s="23" t="n">
        <v>2</v>
      </c>
      <c r="C56" s="29" t="n">
        <v>0.192</v>
      </c>
      <c r="D56" s="23" t="n">
        <v>730</v>
      </c>
      <c r="E56" s="30">
        <f>B56*C56*D56</f>
        <v/>
      </c>
      <c r="F56" s="6" t="inlineStr">
        <is>
          <t>per hour</t>
        </is>
      </c>
      <c r="G56" s="20" t="inlineStr">
        <is>
          <t>Azure pay-as-you-go list price (approx.).</t>
        </is>
      </c>
    </row>
    <row r="57">
      <c r="A57" s="6" t="inlineStr">
        <is>
          <t>Observability stack (managed Grafana / Tempo / Prometheus)</t>
        </is>
      </c>
      <c r="B57" s="23" t="n">
        <v>1</v>
      </c>
      <c r="C57" s="26" t="n">
        <v>600</v>
      </c>
      <c r="D57" s="23" t="n">
        <v>1</v>
      </c>
      <c r="E57" s="30">
        <f>B57*C57*D57</f>
        <v/>
      </c>
      <c r="F57" s="6" t="inlineStr">
        <is>
          <t>per month</t>
        </is>
      </c>
      <c r="G57" s="20" t="inlineStr">
        <is>
          <t>Pod estimate.</t>
        </is>
      </c>
    </row>
    <row r="58">
      <c r="A58" s="6" t="inlineStr">
        <is>
          <t>Audit storage (S3 Object Lock) + SIEM ingest</t>
        </is>
      </c>
      <c r="B58" s="23" t="n">
        <v>1</v>
      </c>
      <c r="C58" s="26" t="n">
        <v>450</v>
      </c>
      <c r="D58" s="23" t="n">
        <v>1</v>
      </c>
      <c r="E58" s="30">
        <f>B58*C58*D58</f>
        <v/>
      </c>
      <c r="F58" s="6" t="inlineStr">
        <is>
          <t>per month</t>
        </is>
      </c>
      <c r="G58" s="20" t="inlineStr">
        <is>
          <t>Pod estimate.</t>
        </is>
      </c>
    </row>
    <row r="59">
      <c r="A59" s="6" t="inlineStr">
        <is>
          <t>Networking: NAT gateways, cross-cloud egress</t>
        </is>
      </c>
      <c r="B59" s="23" t="n">
        <v>1</v>
      </c>
      <c r="C59" s="26" t="n">
        <v>250</v>
      </c>
      <c r="D59" s="23" t="n">
        <v>1</v>
      </c>
      <c r="E59" s="30">
        <f>B59*C59*D59</f>
        <v/>
      </c>
      <c r="F59" s="6" t="inlineStr">
        <is>
          <t>per month</t>
        </is>
      </c>
      <c r="G59" s="20" t="inlineStr">
        <is>
          <t>Pod estimate.</t>
        </is>
      </c>
    </row>
    <row r="60">
      <c r="A60" s="31" t="inlineStr">
        <is>
          <t>Compute_infra: total per month</t>
        </is>
      </c>
      <c r="E60" s="32">
        <f>SUM(E52:E59)</f>
        <v/>
      </c>
    </row>
    <row r="62">
      <c r="A62" s="3" t="inlineStr">
        <is>
          <t>6. Ops_overhead inputs</t>
        </is>
      </c>
      <c r="B62" s="4" t="n"/>
      <c r="C62" s="4" t="n"/>
      <c r="D62" s="4" t="n"/>
      <c r="E62" s="4" t="n"/>
      <c r="F62" s="4" t="n"/>
      <c r="G62" s="4" t="n"/>
    </row>
    <row r="63">
      <c r="A63" s="17" t="inlineStr">
        <is>
          <t>Parameter</t>
        </is>
      </c>
      <c r="B63" s="17" t="inlineStr">
        <is>
          <t>Value</t>
        </is>
      </c>
      <c r="C63" s="17" t="inlineStr">
        <is>
          <t>Unit</t>
        </is>
      </c>
      <c r="D63" s="17" t="inlineStr"/>
      <c r="E63" s="17" t="inlineStr"/>
      <c r="F63" s="17" t="inlineStr"/>
      <c r="G63" s="17" t="inlineStr">
        <is>
          <t>Source / rationale</t>
        </is>
      </c>
    </row>
    <row r="64">
      <c r="A64" s="6" t="inlineStr">
        <is>
          <t>Platform operations engineers (run, upgrade, on-call for the platform)</t>
        </is>
      </c>
      <c r="B64" s="25" t="n">
        <v>1.5</v>
      </c>
      <c r="C64" s="6" t="inlineStr">
        <is>
          <t>FTE</t>
        </is>
      </c>
      <c r="G64" s="20" t="inlineStr">
        <is>
          <t>Pod assumption.</t>
        </is>
      </c>
    </row>
    <row r="65">
      <c r="A65" s="6" t="inlineStr">
        <is>
          <t>Model evaluation + guardrail / OPA policy upkeep</t>
        </is>
      </c>
      <c r="B65" s="25" t="n">
        <v>0.5</v>
      </c>
      <c r="C65" s="6" t="inlineStr">
        <is>
          <t>FTE</t>
        </is>
      </c>
      <c r="G65" s="20" t="inlineStr">
        <is>
          <t>ADR 02/03: owner for deny-lists, policies, weekly Tier-1 vs Tier-2 evaluation.</t>
        </is>
      </c>
    </row>
    <row r="66">
      <c r="A66" s="6" t="inlineStr">
        <is>
          <t>Loaded cost per FTE</t>
        </is>
      </c>
      <c r="B66" s="26" t="n">
        <v>190000</v>
      </c>
      <c r="C66" s="6" t="inlineStr">
        <is>
          <t>$ / FTE / year</t>
        </is>
      </c>
      <c r="G66" s="20" t="inlineStr">
        <is>
          <t>Pod assumption.</t>
        </is>
      </c>
    </row>
    <row r="67">
      <c r="A67" s="6" t="inlineStr">
        <is>
          <t>Annual salary escalation</t>
        </is>
      </c>
      <c r="B67" s="24" t="n">
        <v>0.03</v>
      </c>
      <c r="C67" s="6" t="inlineStr">
        <is>
          <t>% / year</t>
        </is>
      </c>
      <c r="G67" s="20" t="inlineStr">
        <is>
          <t>Pod assumption.</t>
        </is>
      </c>
    </row>
    <row r="68">
      <c r="A68" s="6" t="inlineStr">
        <is>
          <t>LLM observability &amp; eval tooling licences (e.g. LangSmith)</t>
        </is>
      </c>
      <c r="B68" s="26" t="n">
        <v>6000</v>
      </c>
      <c r="C68" s="6" t="inlineStr">
        <is>
          <t>$ / year</t>
        </is>
      </c>
      <c r="G68" s="20" t="inlineStr">
        <is>
          <t>Pod estimate.</t>
        </is>
      </c>
    </row>
    <row r="69">
      <c r="A69" s="6" t="inlineStr">
        <is>
          <t>Build &amp; integration team (one-time, Year 1)</t>
        </is>
      </c>
      <c r="B69" s="23" t="n">
        <v>4</v>
      </c>
      <c r="C69" s="6" t="inlineStr">
        <is>
          <t>engineers</t>
        </is>
      </c>
      <c r="G69" s="20" t="inlineStr">
        <is>
          <t>Pod assumption.</t>
        </is>
      </c>
    </row>
    <row r="70">
      <c r="A70" s="6" t="inlineStr">
        <is>
          <t>Build &amp; integration duration</t>
        </is>
      </c>
      <c r="B70" s="23" t="n">
        <v>4</v>
      </c>
      <c r="C70" s="6" t="inlineStr">
        <is>
          <t>months</t>
        </is>
      </c>
      <c r="G70" s="20" t="inlineStr">
        <is>
          <t>Pod assumption.</t>
        </is>
      </c>
    </row>
    <row r="71">
      <c r="A71" s="6" t="inlineStr">
        <is>
          <t>Security review, threat model &amp; pen test (one-time)</t>
        </is>
      </c>
      <c r="B71" s="26" t="n">
        <v>40000</v>
      </c>
      <c r="C71" s="6" t="inlineStr">
        <is>
          <t>$</t>
        </is>
      </c>
      <c r="G71" s="20" t="inlineStr">
        <is>
          <t>Pod estimate.</t>
        </is>
      </c>
    </row>
  </sheetData>
  <dataValidations count="1">
    <dataValidation sqref="B5" showDropDown="0" showInputMessage="0" showErrorMessage="0" allowBlank="0" type="list">
      <formula1>"Conservative,Base,Optimistic"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9" customWidth="1" min="3" max="3"/>
    <col width="10" customWidth="1" min="4" max="4"/>
    <col width="10" customWidth="1" min="5" max="5"/>
    <col width="14" customWidth="1" min="6" max="6"/>
    <col width="9" customWidth="1" min="7" max="7"/>
    <col width="10" customWidth="1" min="8" max="8"/>
    <col width="10" customWidth="1" min="9" max="9"/>
    <col width="9" customWidth="1" min="10" max="10"/>
    <col width="13" customWidth="1" min="11" max="11"/>
    <col width="10" customWidth="1" min="12" max="12"/>
    <col width="10" customWidth="1" min="13" max="13"/>
    <col width="10" customWidth="1" min="14" max="14"/>
    <col width="9" customWidth="1" min="15" max="15"/>
    <col width="13" customWidth="1" min="16" max="16"/>
    <col width="13" customWidth="1" min="17" max="17"/>
    <col width="14" customWidth="1" min="18" max="18"/>
    <col width="14" customWidth="1" min="19" max="19"/>
    <col width="58" customWidth="1" min="20" max="20"/>
  </cols>
  <sheetData>
    <row r="1">
      <c r="A1" s="1" t="inlineStr">
        <is>
          <t>Token Economics &amp; Model Routing</t>
        </is>
      </c>
    </row>
    <row r="2">
      <c r="A2" s="5" t="inlineStr">
        <is>
          <t>Token_cost = N_requests × ((T_in × P_in) + (T_out × P_out)) × (1 − Cache_ratio)</t>
        </is>
      </c>
    </row>
    <row r="3">
      <c r="A3" s="2" t="inlineStr">
        <is>
          <t>Formula as given in the Capstone brief, §4 Artifact 4. Applied per task row; prices are per 1M tokens, so each row divides by 1,000,000. Optimized Tier-1 prices include the Tier-2 escalation surcharge.</t>
        </is>
      </c>
    </row>
    <row r="5">
      <c r="A5" s="6" t="inlineStr">
        <is>
          <t>Alerts per month</t>
        </is>
      </c>
      <c r="B5" s="33">
        <f>Assumptions!$B$20</f>
        <v/>
      </c>
    </row>
    <row r="6">
      <c r="A6" s="6" t="inlineStr">
        <is>
          <t>Incidents per month</t>
        </is>
      </c>
      <c r="B6" s="33">
        <f>Assumptions!$B$21</f>
        <v/>
      </c>
    </row>
    <row r="7">
      <c r="A7" s="6" t="inlineStr">
        <is>
          <t>Tier-1 → Tier-2 escalation rate</t>
        </is>
      </c>
      <c r="B7" s="34">
        <f>Assumptions!$B$38</f>
        <v/>
      </c>
    </row>
    <row r="8">
      <c r="A8" s="35" t="inlineStr">
        <is>
          <t>Workload profile</t>
        </is>
      </c>
      <c r="G8" s="35" t="inlineStr">
        <is>
          <t>BASELINE: all Tier 2, no cache</t>
        </is>
      </c>
      <c r="L8" s="35" t="inlineStr">
        <is>
          <t>OPTIMIZED: tiered routing + semantic cache (ADR 03)</t>
        </is>
      </c>
    </row>
    <row r="9" ht="42" customHeight="1">
      <c r="A9" s="17" t="inlineStr">
        <is>
          <t>Task (agent step)</t>
        </is>
      </c>
      <c r="B9" s="17" t="inlineStr">
        <is>
          <t>Unit of work</t>
        </is>
      </c>
      <c r="C9" s="17" t="inlineStr">
        <is>
          <t>Calls per unit</t>
        </is>
      </c>
      <c r="D9" s="17" t="inlineStr">
        <is>
          <t>T_in (tokens / call)</t>
        </is>
      </c>
      <c r="E9" s="17" t="inlineStr">
        <is>
          <t>T_out (tokens / call)</t>
        </is>
      </c>
      <c r="F9" s="17" t="inlineStr">
        <is>
          <t>N_requests / month</t>
        </is>
      </c>
      <c r="G9" s="17" t="inlineStr">
        <is>
          <t>Tier</t>
        </is>
      </c>
      <c r="H9" s="17" t="inlineStr">
        <is>
          <t>P_in ($/1M)</t>
        </is>
      </c>
      <c r="I9" s="17" t="inlineStr">
        <is>
          <t>P_out ($/1M)</t>
        </is>
      </c>
      <c r="J9" s="17" t="inlineStr">
        <is>
          <t>Cache_ratio</t>
        </is>
      </c>
      <c r="K9" s="17" t="inlineStr">
        <is>
          <t>Token_cost ($/mo)</t>
        </is>
      </c>
      <c r="L9" s="17" t="inlineStr">
        <is>
          <t>Tier</t>
        </is>
      </c>
      <c r="M9" s="17" t="inlineStr">
        <is>
          <t>P_in eff. ($/1M)</t>
        </is>
      </c>
      <c r="N9" s="17" t="inlineStr">
        <is>
          <t>P_out eff. ($/1M)</t>
        </is>
      </c>
      <c r="O9" s="17" t="inlineStr">
        <is>
          <t>Cache_ratio</t>
        </is>
      </c>
      <c r="P9" s="17" t="inlineStr">
        <is>
          <t>Token_cost ($/mo)</t>
        </is>
      </c>
      <c r="Q9" s="17" t="inlineStr">
        <is>
          <t>Savings ($/mo)</t>
        </is>
      </c>
      <c r="R9" s="17" t="inlineStr">
        <is>
          <t>Raw tokens / mo</t>
        </is>
      </c>
      <c r="S9" s="17" t="inlineStr">
        <is>
          <t>Billed tokens / mo (opt.)</t>
        </is>
      </c>
      <c r="T9" s="17" t="inlineStr">
        <is>
          <t>Routing rationale</t>
        </is>
      </c>
    </row>
    <row r="10">
      <c r="A10" s="6" t="inlineStr">
        <is>
          <t>Alert classification (classify)</t>
        </is>
      </c>
      <c r="B10" s="13" t="inlineStr">
        <is>
          <t>alert</t>
        </is>
      </c>
      <c r="C10" s="23" t="n">
        <v>1</v>
      </c>
      <c r="D10" s="23" t="n">
        <v>700</v>
      </c>
      <c r="E10" s="23" t="n">
        <v>80</v>
      </c>
      <c r="F10" s="36">
        <f>IF(B10="alert",$B$5,$B$6)*C10</f>
        <v/>
      </c>
      <c r="G10" s="13" t="inlineStr">
        <is>
          <t>Tier 2</t>
        </is>
      </c>
      <c r="H10" s="37">
        <f>IF(G10="Tier 2",Assumptions!$B$46,IF(G10="Tier 1",Assumptions!$B$44,0))</f>
        <v/>
      </c>
      <c r="I10" s="37">
        <f>IF(G10="Tier 2",Assumptions!$B$47,IF(G10="Tier 1",Assumptions!$B$45,0))</f>
        <v/>
      </c>
      <c r="J10" s="24" t="n">
        <v>0</v>
      </c>
      <c r="K10" s="37">
        <f>F10*((D10*H10)+(E10*I10))/1000000*(1-J10)</f>
        <v/>
      </c>
      <c r="L10" s="14" t="inlineStr">
        <is>
          <t>Tier 1</t>
        </is>
      </c>
      <c r="M10" s="38">
        <f>IF(L10="Tier 1",Assumptions!$B$44+$B$7*Assumptions!$B$46,IF(L10="Tier 2",Assumptions!$B$46,IF(L10="Embedding",Assumptions!$B$48,0)))</f>
        <v/>
      </c>
      <c r="N10" s="38">
        <f>IF(L10="Tier 1",Assumptions!$B$45+$B$7*Assumptions!$B$47,IF(L10="Tier 2",Assumptions!$B$47,0))</f>
        <v/>
      </c>
      <c r="O10" s="18" t="n">
        <v>0.55</v>
      </c>
      <c r="P10" s="37">
        <f>F10*((D10*M10)+(E10*N10))/1000000*(1-O10)</f>
        <v/>
      </c>
      <c r="Q10" s="37">
        <f>K10-P10</f>
        <v/>
      </c>
      <c r="R10" s="36">
        <f>F10*(D10+E10)</f>
        <v/>
      </c>
      <c r="S10" s="36">
        <f>R10*(1-O10)</f>
        <v/>
      </c>
      <c r="T10" s="2" t="inlineStr">
        <is>
          <t>Short, repetitive prompt; cached per alert rule (alert storms).</t>
        </is>
      </c>
    </row>
    <row r="11">
      <c r="A11" s="6" t="inlineStr">
        <is>
          <t>Alert de-duplication &amp; correlation (Supervisor)</t>
        </is>
      </c>
      <c r="B11" s="13" t="inlineStr">
        <is>
          <t>alert</t>
        </is>
      </c>
      <c r="C11" s="23" t="n">
        <v>1</v>
      </c>
      <c r="D11" s="23" t="n">
        <v>1200</v>
      </c>
      <c r="E11" s="23" t="n">
        <v>120</v>
      </c>
      <c r="F11" s="36">
        <f>IF(B11="alert",$B$5,$B$6)*C11</f>
        <v/>
      </c>
      <c r="G11" s="13" t="inlineStr">
        <is>
          <t>Tier 2</t>
        </is>
      </c>
      <c r="H11" s="37">
        <f>IF(G11="Tier 2",Assumptions!$B$46,IF(G11="Tier 1",Assumptions!$B$44,0))</f>
        <v/>
      </c>
      <c r="I11" s="37">
        <f>IF(G11="Tier 2",Assumptions!$B$47,IF(G11="Tier 1",Assumptions!$B$45,0))</f>
        <v/>
      </c>
      <c r="J11" s="24" t="n">
        <v>0</v>
      </c>
      <c r="K11" s="37">
        <f>F11*((D11*H11)+(E11*I11))/1000000*(1-J11)</f>
        <v/>
      </c>
      <c r="L11" s="14" t="inlineStr">
        <is>
          <t>Tier 1</t>
        </is>
      </c>
      <c r="M11" s="38">
        <f>IF(L11="Tier 1",Assumptions!$B$44+$B$7*Assumptions!$B$46,IF(L11="Tier 2",Assumptions!$B$46,IF(L11="Embedding",Assumptions!$B$48,0)))</f>
        <v/>
      </c>
      <c r="N11" s="38">
        <f>IF(L11="Tier 1",Assumptions!$B$45+$B$7*Assumptions!$B$47,IF(L11="Tier 2",Assumptions!$B$47,0))</f>
        <v/>
      </c>
      <c r="O11" s="18" t="n">
        <v>0.4</v>
      </c>
      <c r="P11" s="37">
        <f>F11*((D11*M11)+(E11*N11))/1000000*(1-O11)</f>
        <v/>
      </c>
      <c r="Q11" s="37">
        <f>K11-P11</f>
        <v/>
      </c>
      <c r="R11" s="36">
        <f>F11*(D11+E11)</f>
        <v/>
      </c>
      <c r="S11" s="36">
        <f>R11*(1-O11)</f>
        <v/>
      </c>
      <c r="T11" s="2" t="inlineStr">
        <is>
          <t>Pattern matching over recent alerts; Tier 1 is sufficient.</t>
        </is>
      </c>
    </row>
    <row r="12">
      <c r="A12" s="6" t="inlineStr">
        <is>
          <t>Input guardrail L2 (LlamaGuard-class check)</t>
        </is>
      </c>
      <c r="B12" s="13" t="inlineStr">
        <is>
          <t>incident</t>
        </is>
      </c>
      <c r="C12" s="23" t="n">
        <v>1</v>
      </c>
      <c r="D12" s="23" t="n">
        <v>7000</v>
      </c>
      <c r="E12" s="23" t="n">
        <v>20</v>
      </c>
      <c r="F12" s="36">
        <f>IF(B12="alert",$B$5,$B$6)*C12</f>
        <v/>
      </c>
      <c r="G12" s="13" t="inlineStr">
        <is>
          <t>Tier 2</t>
        </is>
      </c>
      <c r="H12" s="37">
        <f>IF(G12="Tier 2",Assumptions!$B$46,IF(G12="Tier 1",Assumptions!$B$44,0))</f>
        <v/>
      </c>
      <c r="I12" s="37">
        <f>IF(G12="Tier 2",Assumptions!$B$47,IF(G12="Tier 1",Assumptions!$B$45,0))</f>
        <v/>
      </c>
      <c r="J12" s="24" t="n">
        <v>0</v>
      </c>
      <c r="K12" s="37">
        <f>F12*((D12*H12)+(E12*I12))/1000000*(1-J12)</f>
        <v/>
      </c>
      <c r="L12" s="14" t="inlineStr">
        <is>
          <t>Tier 1</t>
        </is>
      </c>
      <c r="M12" s="38">
        <f>IF(L12="Tier 1",Assumptions!$B$44+$B$7*Assumptions!$B$46,IF(L12="Tier 2",Assumptions!$B$46,IF(L12="Embedding",Assumptions!$B$48,0)))</f>
        <v/>
      </c>
      <c r="N12" s="38">
        <f>IF(L12="Tier 1",Assumptions!$B$45+$B$7*Assumptions!$B$47,IF(L12="Tier 2",Assumptions!$B$47,0))</f>
        <v/>
      </c>
      <c r="O12" s="18" t="n">
        <v>0</v>
      </c>
      <c r="P12" s="37">
        <f>F12*((D12*M12)+(E12*N12))/1000000*(1-O12)</f>
        <v/>
      </c>
      <c r="Q12" s="37">
        <f>K12-P12</f>
        <v/>
      </c>
      <c r="R12" s="36">
        <f>F12*(D12+E12)</f>
        <v/>
      </c>
      <c r="S12" s="36">
        <f>R12*(1-O12)</f>
        <v/>
      </c>
      <c r="T12" s="2" t="inlineStr">
        <is>
          <t>Runs once per untrusted input, not per agent hop (ADR 03).</t>
        </is>
      </c>
    </row>
    <row r="13">
      <c r="A13" s="6" t="inlineStr">
        <is>
          <t>Log summarisation (Triage: summarize_logs)</t>
        </is>
      </c>
      <c r="B13" s="13" t="inlineStr">
        <is>
          <t>incident</t>
        </is>
      </c>
      <c r="C13" s="23" t="n">
        <v>4</v>
      </c>
      <c r="D13" s="23" t="n">
        <v>8000</v>
      </c>
      <c r="E13" s="23" t="n">
        <v>600</v>
      </c>
      <c r="F13" s="36">
        <f>IF(B13="alert",$B$5,$B$6)*C13</f>
        <v/>
      </c>
      <c r="G13" s="13" t="inlineStr">
        <is>
          <t>Tier 2</t>
        </is>
      </c>
      <c r="H13" s="37">
        <f>IF(G13="Tier 2",Assumptions!$B$46,IF(G13="Tier 1",Assumptions!$B$44,0))</f>
        <v/>
      </c>
      <c r="I13" s="37">
        <f>IF(G13="Tier 2",Assumptions!$B$47,IF(G13="Tier 1",Assumptions!$B$45,0))</f>
        <v/>
      </c>
      <c r="J13" s="24" t="n">
        <v>0</v>
      </c>
      <c r="K13" s="37">
        <f>F13*((D13*H13)+(E13*I13))/1000000*(1-J13)</f>
        <v/>
      </c>
      <c r="L13" s="14" t="inlineStr">
        <is>
          <t>Tier 1</t>
        </is>
      </c>
      <c r="M13" s="38">
        <f>IF(L13="Tier 1",Assumptions!$B$44+$B$7*Assumptions!$B$46,IF(L13="Tier 2",Assumptions!$B$46,IF(L13="Embedding",Assumptions!$B$48,0)))</f>
        <v/>
      </c>
      <c r="N13" s="38">
        <f>IF(L13="Tier 1",Assumptions!$B$45+$B$7*Assumptions!$B$47,IF(L13="Tier 2",Assumptions!$B$47,0))</f>
        <v/>
      </c>
      <c r="O13" s="18" t="n">
        <v>0.35</v>
      </c>
      <c r="P13" s="37">
        <f>F13*((D13*M13)+(E13*N13))/1000000*(1-O13)</f>
        <v/>
      </c>
      <c r="Q13" s="37">
        <f>K13-P13</f>
        <v/>
      </c>
      <c r="R13" s="36">
        <f>F13*(D13+E13)</f>
        <v/>
      </c>
      <c r="S13" s="36">
        <f>R13*(1-O13)</f>
        <v/>
      </c>
      <c r="T13" s="2" t="inlineStr">
        <is>
          <t>High volume, low reasoning; cached on log fingerprint.</t>
        </is>
      </c>
    </row>
    <row r="14">
      <c r="A14" s="6" t="inlineStr">
        <is>
          <t>Root-cause analysis (Triage: rca, tool loop)</t>
        </is>
      </c>
      <c r="B14" s="13" t="inlineStr">
        <is>
          <t>incident</t>
        </is>
      </c>
      <c r="C14" s="23" t="n">
        <v>6</v>
      </c>
      <c r="D14" s="23" t="n">
        <v>12000</v>
      </c>
      <c r="E14" s="23" t="n">
        <v>800</v>
      </c>
      <c r="F14" s="36">
        <f>IF(B14="alert",$B$5,$B$6)*C14</f>
        <v/>
      </c>
      <c r="G14" s="13" t="inlineStr">
        <is>
          <t>Tier 2</t>
        </is>
      </c>
      <c r="H14" s="37">
        <f>IF(G14="Tier 2",Assumptions!$B$46,IF(G14="Tier 1",Assumptions!$B$44,0))</f>
        <v/>
      </c>
      <c r="I14" s="37">
        <f>IF(G14="Tier 2",Assumptions!$B$47,IF(G14="Tier 1",Assumptions!$B$45,0))</f>
        <v/>
      </c>
      <c r="J14" s="24" t="n">
        <v>0</v>
      </c>
      <c r="K14" s="37">
        <f>F14*((D14*H14)+(E14*I14))/1000000*(1-J14)</f>
        <v/>
      </c>
      <c r="L14" s="14" t="inlineStr">
        <is>
          <t>Tier 2</t>
        </is>
      </c>
      <c r="M14" s="38">
        <f>IF(L14="Tier 1",Assumptions!$B$44+$B$7*Assumptions!$B$46,IF(L14="Tier 2",Assumptions!$B$46,IF(L14="Embedding",Assumptions!$B$48,0)))</f>
        <v/>
      </c>
      <c r="N14" s="38">
        <f>IF(L14="Tier 1",Assumptions!$B$45+$B$7*Assumptions!$B$47,IF(L14="Tier 2",Assumptions!$B$47,0))</f>
        <v/>
      </c>
      <c r="O14" s="18" t="n">
        <v>0.3</v>
      </c>
      <c r="P14" s="37">
        <f>F14*((D14*M14)+(E14*N14))/1000000*(1-O14)</f>
        <v/>
      </c>
      <c r="Q14" s="37">
        <f>K14-P14</f>
        <v/>
      </c>
      <c r="R14" s="36">
        <f>F14*(D14+E14)</f>
        <v/>
      </c>
      <c r="S14" s="36">
        <f>R14*(1-O14)</f>
        <v/>
      </c>
      <c r="T14" s="2" t="inlineStr">
        <is>
          <t>Hard multi-signal reasoning stays on Tier 2; repeat incidents hit cache.</t>
        </is>
      </c>
    </row>
    <row r="15">
      <c r="A15" s="6" t="inlineStr">
        <is>
          <t>Remediation plan + rollback (Planner)</t>
        </is>
      </c>
      <c r="B15" s="13" t="inlineStr">
        <is>
          <t>incident</t>
        </is>
      </c>
      <c r="C15" s="23" t="n">
        <v>1</v>
      </c>
      <c r="D15" s="23" t="n">
        <v>5000</v>
      </c>
      <c r="E15" s="23" t="n">
        <v>1500</v>
      </c>
      <c r="F15" s="36">
        <f>IF(B15="alert",$B$5,$B$6)*C15</f>
        <v/>
      </c>
      <c r="G15" s="13" t="inlineStr">
        <is>
          <t>Tier 2</t>
        </is>
      </c>
      <c r="H15" s="37">
        <f>IF(G15="Tier 2",Assumptions!$B$46,IF(G15="Tier 1",Assumptions!$B$44,0))</f>
        <v/>
      </c>
      <c r="I15" s="37">
        <f>IF(G15="Tier 2",Assumptions!$B$47,IF(G15="Tier 1",Assumptions!$B$45,0))</f>
        <v/>
      </c>
      <c r="J15" s="24" t="n">
        <v>0</v>
      </c>
      <c r="K15" s="37">
        <f>F15*((D15*H15)+(E15*I15))/1000000*(1-J15)</f>
        <v/>
      </c>
      <c r="L15" s="14" t="inlineStr">
        <is>
          <t>Tier 2</t>
        </is>
      </c>
      <c r="M15" s="38">
        <f>IF(L15="Tier 1",Assumptions!$B$44+$B$7*Assumptions!$B$46,IF(L15="Tier 2",Assumptions!$B$46,IF(L15="Embedding",Assumptions!$B$48,0)))</f>
        <v/>
      </c>
      <c r="N15" s="38">
        <f>IF(L15="Tier 1",Assumptions!$B$45+$B$7*Assumptions!$B$47,IF(L15="Tier 2",Assumptions!$B$47,0))</f>
        <v/>
      </c>
      <c r="O15" s="18" t="n">
        <v>0</v>
      </c>
      <c r="P15" s="37">
        <f>F15*((D15*M15)+(E15*N15))/1000000*(1-O15)</f>
        <v/>
      </c>
      <c r="Q15" s="37">
        <f>K15-P15</f>
        <v/>
      </c>
      <c r="R15" s="36">
        <f>F15*(D15+E15)</f>
        <v/>
      </c>
      <c r="S15" s="36">
        <f>R15*(1-O15)</f>
        <v/>
      </c>
      <c r="T15" s="2" t="inlineStr">
        <is>
          <t>Never cached, never downgraded: this step writes production changes.</t>
        </is>
      </c>
    </row>
    <row r="16">
      <c r="A16" s="6" t="inlineStr">
        <is>
          <t>Supervisor routing &amp; budget checks</t>
        </is>
      </c>
      <c r="B16" s="13" t="inlineStr">
        <is>
          <t>incident</t>
        </is>
      </c>
      <c r="C16" s="23" t="n">
        <v>4</v>
      </c>
      <c r="D16" s="23" t="n">
        <v>2000</v>
      </c>
      <c r="E16" s="23" t="n">
        <v>150</v>
      </c>
      <c r="F16" s="36">
        <f>IF(B16="alert",$B$5,$B$6)*C16</f>
        <v/>
      </c>
      <c r="G16" s="13" t="inlineStr">
        <is>
          <t>Tier 2</t>
        </is>
      </c>
      <c r="H16" s="37">
        <f>IF(G16="Tier 2",Assumptions!$B$46,IF(G16="Tier 1",Assumptions!$B$44,0))</f>
        <v/>
      </c>
      <c r="I16" s="37">
        <f>IF(G16="Tier 2",Assumptions!$B$47,IF(G16="Tier 1",Assumptions!$B$45,0))</f>
        <v/>
      </c>
      <c r="J16" s="24" t="n">
        <v>0</v>
      </c>
      <c r="K16" s="37">
        <f>F16*((D16*H16)+(E16*I16))/1000000*(1-J16)</f>
        <v/>
      </c>
      <c r="L16" s="14" t="inlineStr">
        <is>
          <t>Tier 1</t>
        </is>
      </c>
      <c r="M16" s="38">
        <f>IF(L16="Tier 1",Assumptions!$B$44+$B$7*Assumptions!$B$46,IF(L16="Tier 2",Assumptions!$B$46,IF(L16="Embedding",Assumptions!$B$48,0)))</f>
        <v/>
      </c>
      <c r="N16" s="38">
        <f>IF(L16="Tier 1",Assumptions!$B$45+$B$7*Assumptions!$B$47,IF(L16="Tier 2",Assumptions!$B$47,0))</f>
        <v/>
      </c>
      <c r="O16" s="18" t="n">
        <v>0</v>
      </c>
      <c r="P16" s="37">
        <f>F16*((D16*M16)+(E16*N16))/1000000*(1-O16)</f>
        <v/>
      </c>
      <c r="Q16" s="37">
        <f>K16-P16</f>
        <v/>
      </c>
      <c r="R16" s="36">
        <f>F16*(D16+E16)</f>
        <v/>
      </c>
      <c r="S16" s="36">
        <f>R16*(1-O16)</f>
        <v/>
      </c>
      <c r="T16" s="2" t="inlineStr">
        <is>
          <t>Simple routing decisions.</t>
        </is>
      </c>
    </row>
    <row r="17">
      <c r="A17" s="6" t="inlineStr">
        <is>
          <t>Post-fix verification (Verifier)</t>
        </is>
      </c>
      <c r="B17" s="13" t="inlineStr">
        <is>
          <t>incident</t>
        </is>
      </c>
      <c r="C17" s="23" t="n">
        <v>2</v>
      </c>
      <c r="D17" s="23" t="n">
        <v>1500</v>
      </c>
      <c r="E17" s="23" t="n">
        <v>200</v>
      </c>
      <c r="F17" s="36">
        <f>IF(B17="alert",$B$5,$B$6)*C17</f>
        <v/>
      </c>
      <c r="G17" s="13" t="inlineStr">
        <is>
          <t>Tier 2</t>
        </is>
      </c>
      <c r="H17" s="37">
        <f>IF(G17="Tier 2",Assumptions!$B$46,IF(G17="Tier 1",Assumptions!$B$44,0))</f>
        <v/>
      </c>
      <c r="I17" s="37">
        <f>IF(G17="Tier 2",Assumptions!$B$47,IF(G17="Tier 1",Assumptions!$B$45,0))</f>
        <v/>
      </c>
      <c r="J17" s="24" t="n">
        <v>0</v>
      </c>
      <c r="K17" s="37">
        <f>F17*((D17*H17)+(E17*I17))/1000000*(1-J17)</f>
        <v/>
      </c>
      <c r="L17" s="14" t="inlineStr">
        <is>
          <t>Tier 1</t>
        </is>
      </c>
      <c r="M17" s="38">
        <f>IF(L17="Tier 1",Assumptions!$B$44+$B$7*Assumptions!$B$46,IF(L17="Tier 2",Assumptions!$B$46,IF(L17="Embedding",Assumptions!$B$48,0)))</f>
        <v/>
      </c>
      <c r="N17" s="38">
        <f>IF(L17="Tier 1",Assumptions!$B$45+$B$7*Assumptions!$B$47,IF(L17="Tier 2",Assumptions!$B$47,0))</f>
        <v/>
      </c>
      <c r="O17" s="18" t="n">
        <v>0</v>
      </c>
      <c r="P17" s="37">
        <f>F17*((D17*M17)+(E17*N17))/1000000*(1-O17)</f>
        <v/>
      </c>
      <c r="Q17" s="37">
        <f>K17-P17</f>
        <v/>
      </c>
      <c r="R17" s="36">
        <f>F17*(D17+E17)</f>
        <v/>
      </c>
      <c r="S17" s="36">
        <f>R17*(1-O17)</f>
        <v/>
      </c>
      <c r="T17" s="2" t="inlineStr">
        <is>
          <t>Health-signal interpretation.</t>
        </is>
      </c>
    </row>
    <row r="18">
      <c r="A18" s="6" t="inlineStr">
        <is>
          <t>Semantic-cache embedding lookups</t>
        </is>
      </c>
      <c r="B18" s="13" t="inlineStr">
        <is>
          <t>lookup</t>
        </is>
      </c>
      <c r="C18" s="6" t="inlineStr">
        <is>
          <t>-</t>
        </is>
      </c>
      <c r="D18" s="23" t="n">
        <v>1000</v>
      </c>
      <c r="E18" s="23" t="n">
        <v>0</v>
      </c>
      <c r="F18" s="36">
        <f>SUMIFS(F10:F17,O10:O17,"&gt;0")</f>
        <v/>
      </c>
      <c r="G18" s="13" t="inlineStr">
        <is>
          <t>n/a</t>
        </is>
      </c>
      <c r="H18" s="37">
        <f>IF(G18="Tier 2",Assumptions!$B$46,IF(G18="Tier 1",Assumptions!$B$44,0))</f>
        <v/>
      </c>
      <c r="I18" s="37">
        <f>IF(G18="Tier 2",Assumptions!$B$47,IF(G18="Tier 1",Assumptions!$B$45,0))</f>
        <v/>
      </c>
      <c r="J18" s="24" t="n">
        <v>0</v>
      </c>
      <c r="K18" s="37">
        <f>F18*((D18*H18)+(E18*I18))/1000000*(1-J18)</f>
        <v/>
      </c>
      <c r="L18" s="13" t="inlineStr">
        <is>
          <t>Embedding</t>
        </is>
      </c>
      <c r="M18" s="38">
        <f>IF(L18="Tier 1",Assumptions!$B$44+$B$7*Assumptions!$B$46,IF(L18="Tier 2",Assumptions!$B$46,IF(L18="Embedding",Assumptions!$B$48,0)))</f>
        <v/>
      </c>
      <c r="N18" s="38">
        <f>IF(L18="Tier 1",Assumptions!$B$45+$B$7*Assumptions!$B$47,IF(L18="Tier 2",Assumptions!$B$47,0))</f>
        <v/>
      </c>
      <c r="O18" s="24" t="n">
        <v>0</v>
      </c>
      <c r="P18" s="37">
        <f>F18*((D18*M18)+(E18*N18))/1000000*(1-O18)</f>
        <v/>
      </c>
      <c r="Q18" s="37">
        <f>K18-P18</f>
        <v/>
      </c>
      <c r="R18" s="36" t="n">
        <v>0</v>
      </c>
      <c r="S18" s="36" t="n">
        <v>0</v>
      </c>
      <c r="T18" s="2" t="inlineStr">
        <is>
          <t>One embedding per cacheable call (only exists in the optimized design).</t>
        </is>
      </c>
    </row>
    <row r="19">
      <c r="A19" s="31" t="inlineStr">
        <is>
          <t>Total per month</t>
        </is>
      </c>
      <c r="K19" s="39">
        <f>SUM(K10:K18)</f>
        <v/>
      </c>
      <c r="P19" s="39">
        <f>SUM(P10:P18)</f>
        <v/>
      </c>
      <c r="Q19" s="39">
        <f>SUM(Q10:Q18)</f>
        <v/>
      </c>
      <c r="R19" s="40">
        <f>SUM(R10:R18)</f>
        <v/>
      </c>
      <c r="S19" s="40">
        <f>SUM(S10:S18)</f>
        <v/>
      </c>
    </row>
    <row r="21">
      <c r="A21" s="3" t="inlineStr">
        <is>
          <t>Summary (monthly, Year 1 volumes)</t>
        </is>
      </c>
      <c r="B21" s="4" t="n"/>
      <c r="C21" s="4" t="n"/>
      <c r="D21" s="4" t="n"/>
      <c r="E21" s="4" t="n"/>
      <c r="F21" s="4" t="n"/>
    </row>
    <row r="22">
      <c r="A22" s="6" t="inlineStr">
        <is>
          <t>Token_cost: baseline</t>
        </is>
      </c>
      <c r="B22" s="22">
        <f>K19</f>
        <v/>
      </c>
    </row>
    <row r="23">
      <c r="A23" s="6" t="inlineStr">
        <is>
          <t>Token_cost: optimized</t>
        </is>
      </c>
      <c r="B23" s="22">
        <f>P19</f>
        <v/>
      </c>
    </row>
    <row r="24">
      <c r="A24" s="6" t="inlineStr">
        <is>
          <t>Savings per month</t>
        </is>
      </c>
      <c r="B24" s="22">
        <f>Q19</f>
        <v/>
      </c>
    </row>
    <row r="25">
      <c r="A25" s="6" t="inlineStr">
        <is>
          <t>Token optimisation savings %</t>
        </is>
      </c>
      <c r="B25" s="19">
        <f>IF(K19=0,0,Q19/K19)</f>
        <v/>
      </c>
    </row>
    <row r="26">
      <c r="A26" s="6" t="inlineStr">
        <is>
          <t>Blended cache ratio, CR (optimized)</t>
        </is>
      </c>
      <c r="B26" s="19">
        <f>IF(R19=0,0,1-S19/R19)</f>
        <v/>
      </c>
    </row>
    <row r="27">
      <c r="A27" s="6" t="inlineStr">
        <is>
          <t>Tier 2 share of optimized cost</t>
        </is>
      </c>
      <c r="B27" s="19">
        <f>IF(P19=0,0,SUMIFS(P10:P18,L10:L18,"Tier 2")/P19)</f>
        <v/>
      </c>
    </row>
    <row r="28">
      <c r="A28" s="6" t="inlineStr">
        <is>
          <t>Tokens / sec: average (billed, optimized)</t>
        </is>
      </c>
      <c r="B28" s="41">
        <f>S19/(30*24*3600)</f>
        <v/>
      </c>
    </row>
    <row r="29">
      <c r="A29" s="6" t="inlineStr">
        <is>
          <t>Tokens / sec: peak (× peak factor)</t>
        </is>
      </c>
      <c r="B29" s="41">
        <f>B28*Assumptions!$B$37</f>
        <v/>
      </c>
    </row>
    <row r="30">
      <c r="A30" s="6" t="inlineStr">
        <is>
          <t>LLM cost per incident (optimized, incl. alert share)</t>
        </is>
      </c>
      <c r="B30" s="42">
        <f>IF($B$6=0,0,P19/$B$6)</f>
        <v/>
      </c>
    </row>
  </sheetData>
  <mergeCells count="3">
    <mergeCell ref="A8:F8"/>
    <mergeCell ref="G8:K8"/>
    <mergeCell ref="L8:Q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6" customWidth="1" min="5" max="5"/>
    <col width="80" customWidth="1" min="6" max="6"/>
  </cols>
  <sheetData>
    <row r="1">
      <c r="A1" s="1" t="inlineStr">
        <is>
          <t>3-Year TCO &amp; ROI</t>
        </is>
      </c>
    </row>
    <row r="2">
      <c r="A2" s="5" t="inlineStr">
        <is>
          <t>TCO = Compute_infra + Token_cost + Ops_overhead</t>
        </is>
      </c>
    </row>
    <row r="3">
      <c r="A3" s="2" t="inlineStr">
        <is>
          <t>Formula as given in the Capstone brief, §4 Artifact 4. All $ figures are nominal; NPV discounts net benefit.</t>
        </is>
      </c>
    </row>
    <row r="4">
      <c r="A4" s="17" t="inlineStr">
        <is>
          <t>Line item</t>
        </is>
      </c>
      <c r="B4" s="17" t="inlineStr">
        <is>
          <t>Year 1</t>
        </is>
      </c>
      <c r="C4" s="17" t="inlineStr">
        <is>
          <t>Year 2</t>
        </is>
      </c>
      <c r="D4" s="17" t="inlineStr">
        <is>
          <t>Year 3</t>
        </is>
      </c>
      <c r="E4" s="17" t="inlineStr">
        <is>
          <t>3-Year Total</t>
        </is>
      </c>
      <c r="F4" s="17" t="inlineStr">
        <is>
          <t>Formula / note</t>
        </is>
      </c>
    </row>
    <row r="5">
      <c r="A5" s="6" t="inlineStr">
        <is>
          <t>Year index</t>
        </is>
      </c>
      <c r="B5" s="43" t="n">
        <v>1</v>
      </c>
      <c r="C5" s="43" t="n">
        <v>2</v>
      </c>
      <c r="D5" s="43" t="n">
        <v>3</v>
      </c>
      <c r="F5" s="2" t="inlineStr">
        <is>
          <t>Used as the exponent for growth / escalation.</t>
        </is>
      </c>
    </row>
    <row r="7">
      <c r="A7" s="3" t="inlineStr">
        <is>
          <t>Volume</t>
        </is>
      </c>
      <c r="B7" s="4" t="n"/>
      <c r="C7" s="4" t="n"/>
      <c r="D7" s="4" t="n"/>
      <c r="E7" s="4" t="n"/>
      <c r="F7" s="4" t="n"/>
    </row>
    <row r="8">
      <c r="A8" s="6" t="inlineStr">
        <is>
          <t>Alerts per year</t>
        </is>
      </c>
      <c r="B8" s="36">
        <f>Assumptions!$B$20*12*(1+Assumptions!$B$24)^(B$5-1)</f>
        <v/>
      </c>
      <c r="C8" s="36">
        <f>Assumptions!$B$20*12*(1+Assumptions!$B$24)^(C$5-1)</f>
        <v/>
      </c>
      <c r="D8" s="36">
        <f>Assumptions!$B$20*12*(1+Assumptions!$B$24)^(D$5-1)</f>
        <v/>
      </c>
      <c r="E8" s="44">
        <f>SUM(B8:D8)</f>
        <v/>
      </c>
      <c r="F8" s="2" t="inlineStr">
        <is>
          <t>alerts/month × 12 × (1 + growth)^(year − 1)</t>
        </is>
      </c>
    </row>
    <row r="9">
      <c r="A9" s="6" t="inlineStr">
        <is>
          <t>Incidents per year</t>
        </is>
      </c>
      <c r="B9" s="36">
        <f>Assumptions!$B$21*12*(1+Assumptions!$B$24)^(B$5-1)</f>
        <v/>
      </c>
      <c r="C9" s="36">
        <f>Assumptions!$B$21*12*(1+Assumptions!$B$24)^(C$5-1)</f>
        <v/>
      </c>
      <c r="D9" s="36">
        <f>Assumptions!$B$21*12*(1+Assumptions!$B$24)^(D$5-1)</f>
        <v/>
      </c>
      <c r="E9" s="44">
        <f>SUM(B9:D9)</f>
        <v/>
      </c>
      <c r="F9" s="2" t="inlineStr">
        <is>
          <t>incidents/month × 12 × (1 + growth)^(year − 1)</t>
        </is>
      </c>
    </row>
    <row r="10">
      <c r="A10" s="6" t="inlineStr">
        <is>
          <t>P1 / P2 incidents per year</t>
        </is>
      </c>
      <c r="B10" s="36">
        <f>B9*Assumptions!$B$22</f>
        <v/>
      </c>
      <c r="C10" s="36">
        <f>C9*Assumptions!$B$22</f>
        <v/>
      </c>
      <c r="D10" s="36">
        <f>D9*Assumptions!$B$22</f>
        <v/>
      </c>
      <c r="E10" s="44">
        <f>SUM(B10:D10)</f>
        <v/>
      </c>
      <c r="F10" s="2" t="inlineStr"/>
    </row>
    <row r="11">
      <c r="A11" s="6" t="inlineStr">
        <is>
          <t>Adoption ramp (share of estate on the platform)</t>
        </is>
      </c>
      <c r="B11" s="34">
        <f>Assumptions!$B$33</f>
        <v/>
      </c>
      <c r="C11" s="34">
        <f>Assumptions!$B$34</f>
        <v/>
      </c>
      <c r="D11" s="34">
        <f>Assumptions!$B$35</f>
        <v/>
      </c>
      <c r="F11" s="2" t="inlineStr"/>
    </row>
    <row r="12">
      <c r="A12" s="6" t="inlineStr">
        <is>
          <t>Coverage: auto + HITL-assisted share of incidents</t>
        </is>
      </c>
      <c r="B12" s="34">
        <f>Assumptions!$E$9+Assumptions!$E$10</f>
        <v/>
      </c>
      <c r="C12" s="34">
        <f>Assumptions!$E$9+Assumptions!$E$10</f>
        <v/>
      </c>
      <c r="D12" s="34">
        <f>Assumptions!$E$9+Assumptions!$E$10</f>
        <v/>
      </c>
      <c r="F12" s="2" t="inlineStr">
        <is>
          <t>From the active scenario on Assumptions.</t>
        </is>
      </c>
    </row>
    <row r="14">
      <c r="A14" s="3" t="inlineStr">
        <is>
          <t>Compute_infra</t>
        </is>
      </c>
      <c r="B14" s="4" t="n"/>
      <c r="C14" s="4" t="n"/>
      <c r="D14" s="4" t="n"/>
      <c r="E14" s="4" t="n"/>
      <c r="F14" s="4" t="n"/>
    </row>
    <row r="15">
      <c r="A15" s="11" t="inlineStr">
        <is>
          <t>Compute_infra</t>
        </is>
      </c>
      <c r="B15" s="22">
        <f>Assumptions!$E$60*12*(1+Assumptions!$B$39)^(B$5-1)</f>
        <v/>
      </c>
      <c r="C15" s="22">
        <f>Assumptions!$E$60*12*(1+Assumptions!$B$39)^(C$5-1)</f>
        <v/>
      </c>
      <c r="D15" s="22">
        <f>Assumptions!$E$60*12*(1+Assumptions!$B$39)^(D$5-1)</f>
        <v/>
      </c>
      <c r="E15" s="22">
        <f>SUM(B15:D15)</f>
        <v/>
      </c>
      <c r="F15" s="2" t="inlineStr">
        <is>
          <t>Monthly infra total (Assumptions §5) × 12 × (1 + infra growth)^(year − 1)</t>
        </is>
      </c>
    </row>
    <row r="17">
      <c r="A17" s="3" t="inlineStr">
        <is>
          <t>Token_cost</t>
        </is>
      </c>
      <c r="B17" s="4" t="n"/>
      <c r="C17" s="4" t="n"/>
      <c r="D17" s="4" t="n"/>
      <c r="E17" s="4" t="n"/>
      <c r="F17" s="4" t="n"/>
    </row>
    <row r="18">
      <c r="A18" s="11" t="inlineStr">
        <is>
          <t>Token_cost (optimized: tiered routing + semantic cache)</t>
        </is>
      </c>
      <c r="B18" s="22">
        <f>'Token Economics'!$B$23*12*(1+Assumptions!$B$24)^(B$5-1)*B11</f>
        <v/>
      </c>
      <c r="C18" s="22">
        <f>'Token Economics'!$B$23*12*(1+Assumptions!$B$24)^(C$5-1)*C11</f>
        <v/>
      </c>
      <c r="D18" s="22">
        <f>'Token Economics'!$B$23*12*(1+Assumptions!$B$24)^(D$5-1)*D11</f>
        <v/>
      </c>
      <c r="E18" s="22">
        <f>SUM(B18:D18)</f>
        <v/>
      </c>
      <c r="F18" s="2" t="inlineStr">
        <is>
          <t>Token Economics optimized total × 12 × volume growth × adoption</t>
        </is>
      </c>
    </row>
    <row r="19">
      <c r="A19" s="6" t="inlineStr">
        <is>
          <t>Memo: Token_cost if baseline (all Tier 2, no cache)</t>
        </is>
      </c>
      <c r="B19" s="30">
        <f>'Token Economics'!$B$22*12*(1+Assumptions!$B$24)^(B$5-1)*B11</f>
        <v/>
      </c>
      <c r="C19" s="30">
        <f>'Token Economics'!$B$22*12*(1+Assumptions!$B$24)^(C$5-1)*C11</f>
        <v/>
      </c>
      <c r="D19" s="30">
        <f>'Token Economics'!$B$22*12*(1+Assumptions!$B$24)^(D$5-1)*D11</f>
        <v/>
      </c>
      <c r="E19" s="22">
        <f>SUM(B19:D19)</f>
        <v/>
      </c>
      <c r="F19" s="2" t="inlineStr">
        <is>
          <t>Not part of TCO; shows what ADR 03 saves.</t>
        </is>
      </c>
    </row>
    <row r="20">
      <c r="A20" s="6" t="inlineStr">
        <is>
          <t>Memo: token spend avoided by ADR 03</t>
        </is>
      </c>
      <c r="B20" s="30">
        <f>B19-B18</f>
        <v/>
      </c>
      <c r="C20" s="30">
        <f>C19-C18</f>
        <v/>
      </c>
      <c r="D20" s="30">
        <f>D19-D18</f>
        <v/>
      </c>
      <c r="E20" s="22">
        <f>SUM(B20:D20)</f>
        <v/>
      </c>
      <c r="F20" s="2" t="inlineStr"/>
    </row>
    <row r="22">
      <c r="A22" s="3" t="inlineStr">
        <is>
          <t>Ops_overhead</t>
        </is>
      </c>
      <c r="B22" s="4" t="n"/>
      <c r="C22" s="4" t="n"/>
      <c r="D22" s="4" t="n"/>
      <c r="E22" s="4" t="n"/>
      <c r="F22" s="4" t="n"/>
    </row>
    <row r="23">
      <c r="A23" s="6" t="inlineStr">
        <is>
          <t>Build &amp; integration + security review (one-time)</t>
        </is>
      </c>
      <c r="B23" s="30">
        <f>Assumptions!$B$69*Assumptions!$B$70/12*Assumptions!$B$66+Assumptions!$B$71</f>
        <v/>
      </c>
      <c r="C23" s="30">
        <f>0</f>
        <v/>
      </c>
      <c r="D23" s="30">
        <f>0</f>
        <v/>
      </c>
      <c r="E23" s="22">
        <f>SUM(B23:D23)</f>
        <v/>
      </c>
      <c r="F23" s="2" t="inlineStr">
        <is>
          <t>engineers × months/12 × FTE cost + security review; Year 1 only</t>
        </is>
      </c>
    </row>
    <row r="24">
      <c r="A24" s="6" t="inlineStr">
        <is>
          <t>Platform operations FTE</t>
        </is>
      </c>
      <c r="B24" s="30">
        <f>Assumptions!$B$64*Assumptions!$B$66*(1+Assumptions!$B$67)^(B$5-1)</f>
        <v/>
      </c>
      <c r="C24" s="30">
        <f>Assumptions!$B$64*Assumptions!$B$66*(1+Assumptions!$B$67)^(C$5-1)</f>
        <v/>
      </c>
      <c r="D24" s="30">
        <f>Assumptions!$B$64*Assumptions!$B$66*(1+Assumptions!$B$67)^(D$5-1)</f>
        <v/>
      </c>
      <c r="E24" s="22">
        <f>SUM(B24:D24)</f>
        <v/>
      </c>
      <c r="F24" s="2" t="inlineStr"/>
    </row>
    <row r="25">
      <c r="A25" s="6" t="inlineStr">
        <is>
          <t>Model evaluation &amp; guardrail / policy upkeep</t>
        </is>
      </c>
      <c r="B25" s="30">
        <f>Assumptions!$B$65*Assumptions!$B$66*(1+Assumptions!$B$67)^(B$5-1)</f>
        <v/>
      </c>
      <c r="C25" s="30">
        <f>Assumptions!$B$65*Assumptions!$B$66*(1+Assumptions!$B$67)^(C$5-1)</f>
        <v/>
      </c>
      <c r="D25" s="30">
        <f>Assumptions!$B$65*Assumptions!$B$66*(1+Assumptions!$B$67)^(D$5-1)</f>
        <v/>
      </c>
      <c r="E25" s="22">
        <f>SUM(B25:D25)</f>
        <v/>
      </c>
      <c r="F25" s="2" t="inlineStr"/>
    </row>
    <row r="26">
      <c r="A26" s="6" t="inlineStr">
        <is>
          <t>Observability &amp; eval tooling licences</t>
        </is>
      </c>
      <c r="B26" s="30">
        <f>Assumptions!$B$68</f>
        <v/>
      </c>
      <c r="C26" s="30">
        <f>Assumptions!$B$68</f>
        <v/>
      </c>
      <c r="D26" s="30">
        <f>Assumptions!$B$68</f>
        <v/>
      </c>
      <c r="E26" s="22">
        <f>SUM(B26:D26)</f>
        <v/>
      </c>
      <c r="F26" s="2" t="inlineStr"/>
    </row>
    <row r="27">
      <c r="A27" s="6" t="inlineStr">
        <is>
          <t>SRE time spent on HITL approvals</t>
        </is>
      </c>
      <c r="B27" s="30">
        <f>B9*B11*Assumptions!$E$10*Assumptions!$B$32/60*Assumptions!$B$31</f>
        <v/>
      </c>
      <c r="C27" s="30">
        <f>C9*C11*Assumptions!$E$10*Assumptions!$B$32/60*Assumptions!$B$31</f>
        <v/>
      </c>
      <c r="D27" s="30">
        <f>D9*D11*Assumptions!$E$10*Assumptions!$B$32/60*Assumptions!$B$31</f>
        <v/>
      </c>
      <c r="E27" s="22">
        <f>SUM(B27:D27)</f>
        <v/>
      </c>
      <c r="F27" s="2" t="inlineStr">
        <is>
          <t>incidents × adoption × HITL share × minutes/60 × SRE rate</t>
        </is>
      </c>
    </row>
    <row r="28">
      <c r="A28" s="11" t="inlineStr">
        <is>
          <t>Ops_overhead</t>
        </is>
      </c>
      <c r="B28" s="45">
        <f>SUM(B23:B27)</f>
        <v/>
      </c>
      <c r="C28" s="45">
        <f>SUM(C23:C27)</f>
        <v/>
      </c>
      <c r="D28" s="45">
        <f>SUM(D23:D27)</f>
        <v/>
      </c>
      <c r="E28" s="45">
        <f>SUM(B28:D28)</f>
        <v/>
      </c>
      <c r="F28" s="2" t="inlineStr"/>
    </row>
    <row r="30">
      <c r="A30" s="31" t="inlineStr">
        <is>
          <t>TCO = Compute_infra + Token_cost + Ops_overhead</t>
        </is>
      </c>
      <c r="B30" s="32">
        <f>B15+B18+B28</f>
        <v/>
      </c>
      <c r="C30" s="32">
        <f>C15+C18+C28</f>
        <v/>
      </c>
      <c r="D30" s="32">
        <f>D15+D18+D28</f>
        <v/>
      </c>
      <c r="E30" s="32">
        <f>SUM(B30:D30)</f>
        <v/>
      </c>
      <c r="F30" s="2" t="inlineStr">
        <is>
          <t>Brief formula, per year</t>
        </is>
      </c>
    </row>
    <row r="32">
      <c r="A32" s="3" t="inlineStr">
        <is>
          <t>Benefits</t>
        </is>
      </c>
      <c r="B32" s="4" t="n"/>
      <c r="C32" s="4" t="n"/>
      <c r="D32" s="4" t="n"/>
      <c r="E32" s="4" t="n"/>
      <c r="F32" s="4" t="n"/>
    </row>
    <row r="33">
      <c r="A33" s="6" t="inlineStr">
        <is>
          <t>Baseline downtime cost per P1/P2 incident</t>
        </is>
      </c>
      <c r="B33" s="30">
        <f>Assumptions!$B$23*Assumptions!$B$27*Assumptions!$E$12+(1-Assumptions!$B$23)*Assumptions!$B$28*Assumptions!$E$12*Assumptions!$B$29</f>
        <v/>
      </c>
      <c r="C33" s="30">
        <f>Assumptions!$B$23*Assumptions!$B$27*Assumptions!$E$12+(1-Assumptions!$B$23)*Assumptions!$B$28*Assumptions!$E$12*Assumptions!$B$29</f>
        <v/>
      </c>
      <c r="D33" s="30">
        <f>Assumptions!$B$23*Assumptions!$B$27*Assumptions!$E$12+(1-Assumptions!$B$23)*Assumptions!$B$28*Assumptions!$E$12*Assumptions!$B$29</f>
        <v/>
      </c>
      <c r="F33" s="2" t="inlineStr">
        <is>
          <t>P1 share × P1 MTTR × $/h + P2 share × P2 MTTR × $/h × P2 factor</t>
        </is>
      </c>
    </row>
    <row r="34">
      <c r="A34" s="6" t="inlineStr">
        <is>
          <t>Downtime avoided (faster MTTR on P1/P2)</t>
        </is>
      </c>
      <c r="B34" s="30">
        <f>B10*B11*B12*B33*Assumptions!$E$11*Assumptions!$E$13</f>
        <v/>
      </c>
      <c r="C34" s="30">
        <f>C10*C11*C12*C33*Assumptions!$E$11*Assumptions!$E$13</f>
        <v/>
      </c>
      <c r="D34" s="30">
        <f>D10*D11*D12*D33*Assumptions!$E$11*Assumptions!$E$13</f>
        <v/>
      </c>
      <c r="E34" s="22">
        <f>SUM(B34:D34)</f>
        <v/>
      </c>
      <c r="F34" s="2" t="inlineStr">
        <is>
          <t>P1/P2 incidents × adoption × coverage × downtime $/incident × MTTR reduction × attribution</t>
        </is>
      </c>
    </row>
    <row r="35">
      <c r="A35" s="6" t="inlineStr">
        <is>
          <t>Responder toil avoided</t>
        </is>
      </c>
      <c r="B35" s="30">
        <f>B9*B11*B12*Assumptions!$B$30*Assumptions!$E$14*Assumptions!$B$31*Assumptions!$E$16</f>
        <v/>
      </c>
      <c r="C35" s="30">
        <f>C9*C11*C12*Assumptions!$B$30*Assumptions!$E$14*Assumptions!$B$31*Assumptions!$E$16</f>
        <v/>
      </c>
      <c r="D35" s="30">
        <f>D9*D11*D12*Assumptions!$B$30*Assumptions!$E$14*Assumptions!$B$31*Assumptions!$E$16</f>
        <v/>
      </c>
      <c r="E35" s="22">
        <f>SUM(B35:D35)</f>
        <v/>
      </c>
      <c r="F35" s="2" t="inlineStr">
        <is>
          <t>incidents × adoption × coverage × responder hours × toil reduction × SRE rate × realisation</t>
        </is>
      </c>
    </row>
    <row r="36">
      <c r="A36" s="6" t="inlineStr">
        <is>
          <t>Alert-triage time avoided (alert fatigue)</t>
        </is>
      </c>
      <c r="B36" s="30">
        <f>B8*B11*Assumptions!$B$25*Assumptions!$B$26/60*Assumptions!$E$15*Assumptions!$B$31*Assumptions!$E$16</f>
        <v/>
      </c>
      <c r="C36" s="30">
        <f>C8*C11*Assumptions!$B$25*Assumptions!$B$26/60*Assumptions!$E$15*Assumptions!$B$31*Assumptions!$E$16</f>
        <v/>
      </c>
      <c r="D36" s="30">
        <f>D8*D11*Assumptions!$B$25*Assumptions!$B$26/60*Assumptions!$E$15*Assumptions!$B$31*Assumptions!$E$16</f>
        <v/>
      </c>
      <c r="E36" s="22">
        <f>SUM(B36:D36)</f>
        <v/>
      </c>
      <c r="F36" s="2" t="inlineStr">
        <is>
          <t>alerts × adoption × human-reviewed share × minutes/60 × auto-triage share × SRE rate × realisation</t>
        </is>
      </c>
    </row>
    <row r="37">
      <c r="A37" s="11" t="inlineStr">
        <is>
          <t>Total benefits</t>
        </is>
      </c>
      <c r="B37" s="45">
        <f>SUM(B34:B36)</f>
        <v/>
      </c>
      <c r="C37" s="45">
        <f>SUM(C34:C36)</f>
        <v/>
      </c>
      <c r="D37" s="45">
        <f>SUM(D34:D36)</f>
        <v/>
      </c>
      <c r="E37" s="45">
        <f>SUM(B37:D37)</f>
        <v/>
      </c>
      <c r="F37" s="2" t="inlineStr"/>
    </row>
    <row r="39">
      <c r="A39" s="3" t="inlineStr">
        <is>
          <t>Returns</t>
        </is>
      </c>
      <c r="B39" s="4" t="n"/>
      <c r="C39" s="4" t="n"/>
      <c r="D39" s="4" t="n"/>
      <c r="E39" s="4" t="n"/>
      <c r="F39" s="4" t="n"/>
    </row>
    <row r="40">
      <c r="A40" s="11" t="inlineStr">
        <is>
          <t>Net benefit (Benefits − TCO)</t>
        </is>
      </c>
      <c r="B40" s="22">
        <f>B37-B30</f>
        <v/>
      </c>
      <c r="C40" s="22">
        <f>C37-C30</f>
        <v/>
      </c>
      <c r="D40" s="22">
        <f>D37-D30</f>
        <v/>
      </c>
      <c r="E40" s="22">
        <f>SUM(B40:D40)</f>
        <v/>
      </c>
      <c r="F40" s="2" t="inlineStr"/>
    </row>
    <row r="41">
      <c r="A41" s="6" t="inlineStr">
        <is>
          <t>Cumulative net benefit</t>
        </is>
      </c>
      <c r="B41" s="30">
        <f>B40</f>
        <v/>
      </c>
      <c r="C41" s="30">
        <f>B41+C40</f>
        <v/>
      </c>
      <c r="D41" s="30">
        <f>C41+D40</f>
        <v/>
      </c>
      <c r="F41" s="2" t="inlineStr"/>
    </row>
    <row r="42">
      <c r="A42" s="6" t="inlineStr">
        <is>
          <t>TCO per incident handled</t>
        </is>
      </c>
      <c r="B42" s="37">
        <f>IF(B9=0,0,B30/B9)</f>
        <v/>
      </c>
      <c r="C42" s="37">
        <f>IF(C9=0,0,C30/C9)</f>
        <v/>
      </c>
      <c r="D42" s="37">
        <f>IF(D9=0,0,D30/D9)</f>
        <v/>
      </c>
      <c r="F42" s="2" t="inlineStr"/>
    </row>
    <row r="44">
      <c r="A44" s="3" t="inlineStr">
        <is>
          <t>Headline KPIs (active scenario)</t>
        </is>
      </c>
      <c r="B44" s="4" t="n"/>
      <c r="C44" s="4" t="n"/>
      <c r="D44" s="4" t="n"/>
      <c r="E44" s="4" t="n"/>
      <c r="F44" s="4" t="n"/>
    </row>
    <row r="45">
      <c r="A45" s="6" t="inlineStr">
        <is>
          <t>3-year ROI = (Σ Benefits − Σ TCO) / Σ TCO</t>
        </is>
      </c>
      <c r="B45" s="46">
        <f>IF(E30=0,0,(E37-E30)/E30)</f>
        <v/>
      </c>
    </row>
    <row r="46">
      <c r="A46" s="6" t="inlineStr">
        <is>
          <t>NPV of net benefit @ discount rate</t>
        </is>
      </c>
      <c r="B46" s="47">
        <f>NPV(Assumptions!$B$36,B40:D40)</f>
        <v/>
      </c>
    </row>
    <row r="47">
      <c r="A47" s="6" t="inlineStr">
        <is>
          <t>Benefit-to-cost ratio</t>
        </is>
      </c>
      <c r="B47" s="48">
        <f>IF(E30=0,0,E37/E30)</f>
        <v/>
      </c>
    </row>
    <row r="48">
      <c r="A48" s="6" t="inlineStr">
        <is>
          <t>Payback period (months, even monthly spread within a year)</t>
        </is>
      </c>
      <c r="B48" s="49">
        <f>IF(B41&gt;=0,IF(B37=0,0,12*B30/B37),IF(C41&gt;=0,12+12*(-B41)/C40,IF(D41&gt;=0,24+12*(-C41)/D40,"&gt; 36")))</f>
        <v/>
      </c>
    </row>
    <row r="49">
      <c r="A49" s="6" t="inlineStr">
        <is>
          <t>Share of 3-year TCO: Compute_infra</t>
        </is>
      </c>
      <c r="B49" s="46">
        <f>E15/E30</f>
        <v/>
      </c>
    </row>
    <row r="50">
      <c r="A50" s="6" t="inlineStr">
        <is>
          <t>Share of 3-year TCO: Token_cost</t>
        </is>
      </c>
      <c r="B50" s="46">
        <f>E18/E30</f>
        <v/>
      </c>
    </row>
    <row r="51">
      <c r="A51" s="6" t="inlineStr">
        <is>
          <t>Share of 3-year TCO: Ops_overhead</t>
        </is>
      </c>
      <c r="B51" s="46">
        <f>E28/E30</f>
        <v/>
      </c>
    </row>
    <row r="53">
      <c r="A53" s="3" t="inlineStr">
        <is>
          <t>Scenario sensitivity (3-year totals, computed independently of the selector)</t>
        </is>
      </c>
      <c r="B53" s="4" t="n"/>
      <c r="C53" s="4" t="n"/>
      <c r="D53" s="4" t="n"/>
      <c r="E53" s="4" t="n"/>
      <c r="F53" s="4" t="n"/>
    </row>
    <row r="54">
      <c r="A54" s="17" t="inlineStr">
        <is>
          <t>Metric</t>
        </is>
      </c>
      <c r="B54" s="17" t="inlineStr">
        <is>
          <t>Conservative</t>
        </is>
      </c>
      <c r="C54" s="17" t="inlineStr">
        <is>
          <t>Base</t>
        </is>
      </c>
      <c r="D54" s="17" t="inlineStr">
        <is>
          <t>Optimistic</t>
        </is>
      </c>
      <c r="E54" s="17" t="inlineStr"/>
      <c r="F54" s="17" t="inlineStr">
        <is>
          <t>How it is computed</t>
        </is>
      </c>
    </row>
    <row r="55">
      <c r="A55" s="6" t="inlineStr">
        <is>
          <t>Downtime avoided</t>
        </is>
      </c>
      <c r="B55" s="30">
        <f>SUMPRODUCT(B10:D10,B11:D11)*(Assumptions!$B$9+Assumptions!$B$10)*(Assumptions!$B$23*Assumptions!$B$27*Assumptions!$B$12+(1-Assumptions!$B$23)*Assumptions!$B$28*Assumptions!$B$12*Assumptions!$B$29)*Assumptions!$B$11*Assumptions!$B$13</f>
        <v/>
      </c>
      <c r="C55" s="30">
        <f>SUMPRODUCT(B10:D10,B11:D11)*(Assumptions!$C$9+Assumptions!$C$10)*(Assumptions!$B$23*Assumptions!$B$27*Assumptions!$C$12+(1-Assumptions!$B$23)*Assumptions!$B$28*Assumptions!$C$12*Assumptions!$B$29)*Assumptions!$C$11*Assumptions!$C$13</f>
        <v/>
      </c>
      <c r="D55" s="30">
        <f>SUMPRODUCT(B10:D10,B11:D11)*(Assumptions!$D$9+Assumptions!$D$10)*(Assumptions!$B$23*Assumptions!$B$27*Assumptions!$D$12+(1-Assumptions!$B$23)*Assumptions!$B$28*Assumptions!$D$12*Assumptions!$B$29)*Assumptions!$D$11*Assumptions!$D$13</f>
        <v/>
      </c>
      <c r="F55" s="2" t="inlineStr">
        <is>
          <t>Same formula as the Benefits block, with each scenario's lever column</t>
        </is>
      </c>
    </row>
    <row r="56">
      <c r="A56" s="6" t="inlineStr">
        <is>
          <t>Responder toil avoided</t>
        </is>
      </c>
      <c r="B56" s="30">
        <f>SUMPRODUCT(B9:D9,B11:D11)*(Assumptions!$B$9+Assumptions!$B$10)*Assumptions!$B$30*Assumptions!$B$14*Assumptions!$B$31*Assumptions!$B$16</f>
        <v/>
      </c>
      <c r="C56" s="30">
        <f>SUMPRODUCT(B9:D9,B11:D11)*(Assumptions!$C$9+Assumptions!$C$10)*Assumptions!$B$30*Assumptions!$C$14*Assumptions!$B$31*Assumptions!$C$16</f>
        <v/>
      </c>
      <c r="D56" s="30">
        <f>SUMPRODUCT(B9:D9,B11:D11)*(Assumptions!$D$9+Assumptions!$D$10)*Assumptions!$B$30*Assumptions!$D$14*Assumptions!$B$31*Assumptions!$D$16</f>
        <v/>
      </c>
      <c r="F56" s="2" t="inlineStr"/>
    </row>
    <row r="57">
      <c r="A57" s="6" t="inlineStr">
        <is>
          <t>Alert-triage time avoided</t>
        </is>
      </c>
      <c r="B57" s="30">
        <f>SUMPRODUCT(B8:D8,B11:D11)*Assumptions!$B$25*Assumptions!$B$26/60*Assumptions!$B$15*Assumptions!$B$31*Assumptions!$B$16</f>
        <v/>
      </c>
      <c r="C57" s="30">
        <f>SUMPRODUCT(B8:D8,B11:D11)*Assumptions!$B$25*Assumptions!$B$26/60*Assumptions!$C$15*Assumptions!$B$31*Assumptions!$C$16</f>
        <v/>
      </c>
      <c r="D57" s="30">
        <f>SUMPRODUCT(B8:D8,B11:D11)*Assumptions!$B$25*Assumptions!$B$26/60*Assumptions!$D$15*Assumptions!$B$31*Assumptions!$D$16</f>
        <v/>
      </c>
      <c r="F57" s="2" t="inlineStr"/>
    </row>
    <row r="58">
      <c r="A58" s="11" t="inlineStr">
        <is>
          <t>Total 3-year benefits</t>
        </is>
      </c>
      <c r="B58" s="22">
        <f>SUM(B55:B57)</f>
        <v/>
      </c>
      <c r="C58" s="22">
        <f>SUM(C55:C57)</f>
        <v/>
      </c>
      <c r="D58" s="22">
        <f>SUM(D55:D57)</f>
        <v/>
      </c>
      <c r="F58" s="2" t="inlineStr"/>
    </row>
    <row r="59">
      <c r="A59" s="6" t="inlineStr">
        <is>
          <t>Total 3-year TCO</t>
        </is>
      </c>
      <c r="B59" s="30">
        <f>$E$30-$E$27+SUMPRODUCT(B9:D9,B11:D11)*Assumptions!$B$10*Assumptions!$B$32/60*Assumptions!$B$31</f>
        <v/>
      </c>
      <c r="C59" s="30">
        <f>$E$30-$E$27+SUMPRODUCT(B9:D9,B11:D11)*Assumptions!$C$10*Assumptions!$B$32/60*Assumptions!$B$31</f>
        <v/>
      </c>
      <c r="D59" s="30">
        <f>$E$30-$E$27+SUMPRODUCT(B9:D9,B11:D11)*Assumptions!$D$10*Assumptions!$B$32/60*Assumptions!$B$31</f>
        <v/>
      </c>
      <c r="F59" s="2" t="inlineStr">
        <is>
          <t>TCO with HITL review time recomputed for that scenario's HITL share</t>
        </is>
      </c>
    </row>
    <row r="60">
      <c r="A60" s="11" t="inlineStr">
        <is>
          <t>3-year ROI</t>
        </is>
      </c>
      <c r="B60" s="19">
        <f>IF(B59=0,0,(B58-B59)/B59)</f>
        <v/>
      </c>
      <c r="C60" s="19">
        <f>IF(C59=0,0,(C58-C59)/C59)</f>
        <v/>
      </c>
      <c r="D60" s="19">
        <f>IF(D59=0,0,(D58-D59)/D59)</f>
        <v/>
      </c>
      <c r="F60" s="2" t="inlineStr"/>
    </row>
    <row r="61">
      <c r="A61" s="11" t="inlineStr">
        <is>
          <t>Break-even P1 downtime cost per hour (ROI = 0, Base levers)</t>
        </is>
      </c>
      <c r="B61" s="47">
        <f>MAX(0,($C$59-$C$56-$C$57)/(SUMPRODUCT(B10:D10,B11:D11)*(Assumptions!$C$9+Assumptions!$C$10)*(Assumptions!$B$23*Assumptions!$B$27+(1-Assumptions!$B$23)*Assumptions!$B$28*Assumptions!$B$29)*Assumptions!$C$11*Assumptions!$C$13))</f>
        <v/>
      </c>
      <c r="F61" s="2" t="inlineStr">
        <is>
          <t>The platform pays back if one P1 hour costs more than this. Compare with the Finance figure.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24" customWidth="1" min="4" max="4"/>
    <col width="11" customWidth="1" min="5" max="5"/>
    <col width="7" customWidth="1" min="6" max="6"/>
    <col width="12" customWidth="1" min="7" max="7"/>
    <col width="10" customWidth="1" min="8" max="8"/>
    <col width="14" customWidth="1" min="9" max="9"/>
    <col width="62" customWidth="1" min="10" max="10"/>
    <col width="46" customWidth="1" min="11" max="11"/>
  </cols>
  <sheetData>
    <row r="1">
      <c r="A1" s="1" t="inlineStr">
        <is>
          <t>NFR SLA Matrix</t>
        </is>
      </c>
    </row>
    <row r="2">
      <c r="A2" s="2" t="inlineStr">
        <is>
          <t>Measured values come from the real-model run (OpenAI gpt-4o-mini / gpt-4o via LiteLLM, simulated clusters, 2026-09-28T13:04:21+00:00); guardrail-block evidence from the MockLLM run (2026-09-28T10:09:27+00:00), whose compromised-planner step is simulated.</t>
        </is>
      </c>
    </row>
    <row r="4" ht="30" customHeight="1">
      <c r="A4" s="17" t="inlineStr">
        <is>
          <t>#</t>
        </is>
      </c>
      <c r="B4" s="17" t="inlineStr">
        <is>
          <t>NFR</t>
        </is>
      </c>
      <c r="C4" s="17" t="inlineStr">
        <is>
          <t>Metric (symbol)</t>
        </is>
      </c>
      <c r="D4" s="17" t="inlineStr">
        <is>
          <t>Target</t>
        </is>
      </c>
      <c r="E4" s="17" t="inlineStr">
        <is>
          <t>Target value</t>
        </is>
      </c>
      <c r="F4" s="17" t="inlineStr">
        <is>
          <t>Test</t>
        </is>
      </c>
      <c r="G4" s="17" t="inlineStr">
        <is>
          <t>Measured</t>
        </is>
      </c>
      <c r="H4" s="17" t="inlineStr">
        <is>
          <t>Unit</t>
        </is>
      </c>
      <c r="I4" s="17" t="inlineStr">
        <is>
          <t>Status</t>
        </is>
      </c>
      <c r="J4" s="17" t="inlineStr">
        <is>
          <t>Evidence / how measured</t>
        </is>
      </c>
      <c r="K4" s="17" t="inlineStr">
        <is>
          <t>Production control</t>
        </is>
      </c>
    </row>
    <row r="5" ht="40" customHeight="1">
      <c r="A5" s="6" t="n">
        <v>1</v>
      </c>
      <c r="B5" s="50" t="inlineStr">
        <is>
          <t>End-to-end latency per agent step</t>
        </is>
      </c>
      <c r="C5" s="12" t="inlineStr">
        <is>
          <t>T_lat (p95)</t>
        </is>
      </c>
      <c r="D5" s="12" t="inlineStr">
        <is>
          <t>p95 &lt; 3.5 s (brief)</t>
        </is>
      </c>
      <c r="E5" s="51" t="n">
        <v>3.5</v>
      </c>
      <c r="F5" s="52" t="inlineStr">
        <is>
          <t>&lt;=</t>
        </is>
      </c>
      <c r="G5" s="51" t="n">
        <v>4.386</v>
      </c>
      <c r="H5" s="6" t="inlineStr">
        <is>
          <t>s</t>
        </is>
      </c>
      <c r="I5" s="53">
        <f>IF(G5="","NOT MEASURED",IF(F5="&lt;=",IF(G5&lt;=E5,"MET","NOT MET"),IF(F5="&gt;=",IF(G5&gt;=E5,"MET","NOT MET"),IF(G5=E5,"MET","NOT MET"))))</f>
        <v/>
      </c>
      <c r="J5" s="20" t="inlineStr">
        <is>
          <t>p95 across agent steps, real OpenAI run. Slowest steps (avg): planner 4.0 s (Tier 2), verifier 3.4 s, intake 2.7 s.</t>
        </is>
      </c>
      <c r="K5" s="20" t="inlineStr">
        <is>
          <t>Pilot fix: take the verifier's LLM call off the critical path (its verdict is not authoritative), stream Tier-2 output, keep intake on Tier 1 without escalation</t>
        </is>
      </c>
    </row>
    <row r="6" ht="40" customHeight="1">
      <c r="A6" s="6" t="n">
        <v>2</v>
      </c>
      <c r="B6" s="50" t="inlineStr">
        <is>
          <t>Platform availability</t>
        </is>
      </c>
      <c r="C6" s="12" t="inlineStr">
        <is>
          <t>A</t>
        </is>
      </c>
      <c r="D6" s="12" t="inlineStr">
        <is>
          <t>99.9% (brief)</t>
        </is>
      </c>
      <c r="E6" s="24" t="n">
        <v>0.999</v>
      </c>
      <c r="F6" s="52" t="inlineStr">
        <is>
          <t>&gt;=</t>
        </is>
      </c>
      <c r="H6" s="6" t="inlineStr">
        <is>
          <t>%</t>
        </is>
      </c>
      <c r="I6" s="53">
        <f>IF(G6="","NOT MEASURED",IF(F6="&lt;=",IF(G6&lt;=E6,"MET","NOT MET"),IF(F6="&gt;=",IF(G6&gt;=E6,"MET","NOT MET"),IF(G6=E6,"MET","NOT MET"))))</f>
        <v/>
      </c>
      <c r="J6" s="20" t="inlineStr">
        <is>
          <t>Not measurable in a prototype. Error budget at target: see row below the table.</t>
        </is>
      </c>
      <c r="K6" s="20" t="inlineStr">
        <is>
          <t>3 stateless orchestrator replicas, multi-AZ Redis/Postgres, LLM provider fallback, break-glass runbook</t>
        </is>
      </c>
    </row>
    <row r="7" ht="40" customHeight="1">
      <c r="A7" s="6" t="n">
        <v>3</v>
      </c>
      <c r="B7" s="50" t="inlineStr">
        <is>
          <t>LLM throughput headroom</t>
        </is>
      </c>
      <c r="C7" s="12" t="inlineStr">
        <is>
          <t>Tokens/sec (peak)</t>
        </is>
      </c>
      <c r="D7" s="12" t="inlineStr">
        <is>
          <t>Peak ≤ provisioned quota</t>
        </is>
      </c>
      <c r="E7" s="33">
        <f>Assumptions!$B$40</f>
        <v/>
      </c>
      <c r="F7" s="52" t="inlineStr">
        <is>
          <t>&lt;=</t>
        </is>
      </c>
      <c r="G7" s="33">
        <f>'Token Economics'!$B$29</f>
        <v/>
      </c>
      <c r="H7" s="6" t="inlineStr">
        <is>
          <t>tokens/s</t>
        </is>
      </c>
      <c r="I7" s="53">
        <f>IF(G7="","NOT MEASURED",IF(F7="&lt;=",IF(G7&lt;=E7,"MET","NOT MET"),IF(F7="&gt;=",IF(G7&gt;=E7,"MET","NOT MET"),IF(G7=E7,"MET","NOT MET"))))</f>
        <v/>
      </c>
      <c r="J7" s="20" t="inlineStr">
        <is>
          <t>Projected peak from Token Economics vs. quota on Assumptions.</t>
        </is>
      </c>
      <c r="K7" s="20" t="inlineStr">
        <is>
          <t>Provider rate-limit request; queue + back-pressure in Supervisor</t>
        </is>
      </c>
    </row>
    <row r="8" ht="40" customHeight="1">
      <c r="A8" s="6" t="n">
        <v>4</v>
      </c>
      <c r="B8" s="50" t="inlineStr">
        <is>
          <t>Cache effectiveness</t>
        </is>
      </c>
      <c r="C8" s="12" t="inlineStr">
        <is>
          <t>CR</t>
        </is>
      </c>
      <c r="D8" s="12" t="inlineStr">
        <is>
          <t>≥ 35% (ADR 03)</t>
        </is>
      </c>
      <c r="E8" s="24" t="n">
        <v>0.35</v>
      </c>
      <c r="F8" s="52" t="inlineStr">
        <is>
          <t>&gt;=</t>
        </is>
      </c>
      <c r="G8" s="24" t="n">
        <v>0.33</v>
      </c>
      <c r="H8" s="6" t="inlineStr">
        <is>
          <t>%</t>
        </is>
      </c>
      <c r="I8" s="53">
        <f>IF(G8="","NOT MEASURED",IF(F8="&lt;=",IF(G8&lt;=E8,"MET","NOT MET"),IF(F8="&gt;=",IF(G8&gt;=E8,"MET","NOT MET"),IF(G8=E8,"MET","NOT MET"))))</f>
        <v/>
      </c>
      <c r="J8" s="20" t="inlineStr">
        <is>
          <t>Demo mix of 6 incidents; only repeated incidents can hit. Projected blended CR in Token Economics.</t>
        </is>
      </c>
      <c r="K8" s="20" t="inlineStr">
        <is>
          <t>Similarity ≥ 0.92, scoped keys, TTL 15 min; alert on reopened cache-hit incidents</t>
        </is>
      </c>
    </row>
    <row r="9" ht="40" customHeight="1">
      <c r="A9" s="6" t="n">
        <v>5</v>
      </c>
      <c r="B9" s="50" t="inlineStr">
        <is>
          <t>Tool reliability (raw)</t>
        </is>
      </c>
      <c r="C9" s="12" t="inlineStr">
        <is>
          <t>FR</t>
        </is>
      </c>
      <c r="D9" s="12" t="inlineStr">
        <is>
          <t>≤ 2%</t>
        </is>
      </c>
      <c r="E9" s="24" t="n">
        <v>0.02</v>
      </c>
      <c r="F9" s="52" t="inlineStr">
        <is>
          <t>&lt;=</t>
        </is>
      </c>
      <c r="G9" s="24" t="n">
        <v>0.08</v>
      </c>
      <c r="H9" s="6" t="inlineStr">
        <is>
          <t>%</t>
        </is>
      </c>
      <c r="I9" s="53">
        <f>IF(G9="","NOT MEASURED",IF(F9="&lt;=",IF(G9&lt;=E9,"MET","NOT MET"),IF(F9="&gt;=",IF(G9&gt;=E9,"MET","NOT MET"),IF(G9=E9,"MET","NOT MET"))))</f>
        <v/>
      </c>
      <c r="J9" s="20" t="inlineStr">
        <is>
          <t>Failures were injected on purpose (simulated kube-apiserver timeouts) to exercise retry.</t>
        </is>
      </c>
      <c r="K9" s="20" t="inlineStr">
        <is>
          <t>Retry with backoff + per-tool circuit breaker (3 failures / 30 s)</t>
        </is>
      </c>
    </row>
    <row r="10" ht="40" customHeight="1">
      <c r="A10" s="6" t="n">
        <v>6</v>
      </c>
      <c r="B10" s="50" t="inlineStr">
        <is>
          <t>Tool reliability (after retry)</t>
        </is>
      </c>
      <c r="C10" s="12" t="inlineStr">
        <is>
          <t>Unrecovered tool failures</t>
        </is>
      </c>
      <c r="D10" s="12" t="inlineStr">
        <is>
          <t>0</t>
        </is>
      </c>
      <c r="E10" s="23" t="n">
        <v>0</v>
      </c>
      <c r="F10" s="52" t="inlineStr">
        <is>
          <t>&lt;=</t>
        </is>
      </c>
      <c r="G10" s="23" t="n">
        <v>0</v>
      </c>
      <c r="H10" s="6" t="inlineStr">
        <is>
          <t>count</t>
        </is>
      </c>
      <c r="I10" s="53">
        <f>IF(G10="","NOT MEASURED",IF(F10="&lt;=",IF(G10&lt;=E10,"MET","NOT MET"),IF(F10="&gt;=",IF(G10&gt;=E10,"MET","NOT MET"),IF(G10=E10,"MET","NOT MET"))))</f>
        <v/>
      </c>
      <c r="J10" s="20" t="inlineStr">
        <is>
          <t>All injected transient failures recovered on retry; every incident reached a terminal state.</t>
        </is>
      </c>
      <c r="K10" s="20" t="inlineStr">
        <is>
          <t>Escalate to on-call when the breaker opens</t>
        </is>
      </c>
    </row>
    <row r="11" ht="40" customHeight="1">
      <c r="A11" s="6" t="n">
        <v>7</v>
      </c>
      <c r="B11" s="50" t="inlineStr">
        <is>
          <t>HITL trigger on low confidence</t>
        </is>
      </c>
      <c r="C11" s="12" t="inlineStr">
        <is>
          <t>C</t>
        </is>
      </c>
      <c r="D11" s="12" t="inlineStr">
        <is>
          <t>Human if C &lt; 0.85 (brief)</t>
        </is>
      </c>
      <c r="E11" s="51" t="n">
        <v>0.85</v>
      </c>
      <c r="F11" s="52" t="inlineStr">
        <is>
          <t>=</t>
        </is>
      </c>
      <c r="G11" s="51" t="n">
        <v>0.85</v>
      </c>
      <c r="H11" s="6" t="inlineStr">
        <is>
          <t>threshold</t>
        </is>
      </c>
      <c r="I11" s="53">
        <f>IF(G11="","NOT MEASURED",IF(F11="&lt;=",IF(G11&lt;=E11,"MET","NOT MET"),IF(F11="&gt;=",IF(G11&gt;=E11,"MET","NOT MET"),IF(G11=E11,"MET","NOT MET"))))</f>
        <v/>
      </c>
      <c r="J11" s="20" t="inlineStr">
        <is>
          <t>Configured threshold (config.hitl_confidence_threshold); test_non_destructive_action_needs_human_when_confidence_below_085.</t>
        </is>
      </c>
      <c r="K11" s="20" t="inlineStr">
        <is>
          <t>Threshold under change control; audited per decision</t>
        </is>
      </c>
    </row>
    <row r="12" ht="40" customHeight="1">
      <c r="A12" s="6" t="n">
        <v>8</v>
      </c>
      <c r="B12" s="50" t="inlineStr">
        <is>
          <t>Destructive actions gated by SRE</t>
        </is>
      </c>
      <c r="C12" s="12" t="inlineStr">
        <is>
          <t>% destructive actions paused</t>
        </is>
      </c>
      <c r="D12" s="12" t="inlineStr">
        <is>
          <t>100%</t>
        </is>
      </c>
      <c r="E12" s="24" t="n">
        <v>1</v>
      </c>
      <c r="F12" s="52" t="inlineStr">
        <is>
          <t>&gt;=</t>
        </is>
      </c>
      <c r="G12" s="24" t="n">
        <v>1</v>
      </c>
      <c r="H12" s="6" t="inlineStr">
        <is>
          <t>%</t>
        </is>
      </c>
      <c r="I12" s="53">
        <f>IF(G12="","NOT MEASURED",IF(F12="&lt;=",IF(G12&lt;=E12,"MET","NOT MET"),IF(F12="&gt;=",IF(G12&gt;=E12,"MET","NOT MET"),IF(G12=E12,"MET","NOT MET"))))</f>
        <v/>
      </c>
      <c r="J12" s="20" t="inlineStr">
        <is>
          <t>4/4 DESTRUCTIVE actions in the demo paused for approval; executor only reachable via HITL gate (test).</t>
        </is>
      </c>
      <c r="K12" s="20" t="inlineStr">
        <is>
          <t>Signed single-use approval token enforced in MCP server</t>
        </is>
      </c>
    </row>
    <row r="13" ht="40" customHeight="1">
      <c r="A13" s="6" t="n">
        <v>9</v>
      </c>
      <c r="B13" s="50" t="inlineStr">
        <is>
          <t>Command-injection guardrail</t>
        </is>
      </c>
      <c r="C13" s="12" t="inlineStr">
        <is>
          <t>% malicious plans blocked</t>
        </is>
      </c>
      <c r="D13" s="12" t="inlineStr">
        <is>
          <t>100%</t>
        </is>
      </c>
      <c r="E13" s="24" t="n">
        <v>1</v>
      </c>
      <c r="F13" s="52" t="inlineStr">
        <is>
          <t>&gt;=</t>
        </is>
      </c>
      <c r="G13" s="24" t="n">
        <v>1</v>
      </c>
      <c r="H13" s="6" t="inlineStr">
        <is>
          <t>%</t>
        </is>
      </c>
      <c r="I13" s="53">
        <f>IF(G13="","NOT MEASURED",IF(F13="&lt;=",IF(G13&lt;=E13,"MET","NOT MET"),IF(F13="&gt;=",IF(G13&gt;=E13,"MET","NOT MET"),IF(G13=E13,"MET","NOT MET"))))</f>
        <v/>
      </c>
      <c r="J13" s="20" t="inlineStr">
        <is>
          <t>1/1 simulated malicious plan blocked (MockLLM run); 13/13 deny-list patterns (incl. exfiltration) in unit tests; see ADR 04.</t>
        </is>
      </c>
      <c r="K13" s="20" t="inlineStr">
        <is>
          <t>Deny-list + OPA policy + dry-run inside MCP server (ADR 04, L3)</t>
        </is>
      </c>
    </row>
    <row r="14" ht="40" customHeight="1">
      <c r="A14" s="6" t="n">
        <v>10</v>
      </c>
      <c r="B14" s="50" t="inlineStr">
        <is>
          <t>Prompt-injection guardrail</t>
        </is>
      </c>
      <c r="C14" s="12" t="inlineStr">
        <is>
          <t>% injected lines quarantined</t>
        </is>
      </c>
      <c r="D14" s="12" t="inlineStr">
        <is>
          <t>100%</t>
        </is>
      </c>
      <c r="E14" s="24" t="n">
        <v>1</v>
      </c>
      <c r="F14" s="52" t="inlineStr">
        <is>
          <t>&gt;=</t>
        </is>
      </c>
      <c r="G14" s="24" t="n">
        <v>1</v>
      </c>
      <c r="H14" s="6" t="inlineStr">
        <is>
          <t>%</t>
        </is>
      </c>
      <c r="I14" s="53">
        <f>IF(G14="","NOT MEASURED",IF(F14="&lt;=",IF(G14&lt;=E14,"MET","NOT MET"),IF(F14="&gt;=",IF(G14&gt;=E14,"MET","NOT MET"),IF(G14=E14,"MET","NOT MET"))))</f>
        <v/>
      </c>
      <c r="J14" s="20" t="inlineStr">
        <is>
          <t>2/2 injected log lines quarantined in the prompt-injection scenario.</t>
        </is>
      </c>
      <c r="K14" s="20" t="inlineStr">
        <is>
          <t>Add LlamaGuard 3 / Guardrails AI as ML layer (L2)</t>
        </is>
      </c>
    </row>
    <row r="15" ht="40" customHeight="1">
      <c r="A15" s="6" t="n">
        <v>11</v>
      </c>
      <c r="B15" s="50" t="inlineStr">
        <is>
          <t>Audit compliance</t>
        </is>
      </c>
      <c r="C15" s="12" t="inlineStr">
        <is>
          <t>Audit chain integrity</t>
        </is>
      </c>
      <c r="D15" s="12" t="inlineStr">
        <is>
          <t>100% valid</t>
        </is>
      </c>
      <c r="E15" s="24" t="n">
        <v>1</v>
      </c>
      <c r="F15" s="52" t="inlineStr">
        <is>
          <t>&gt;=</t>
        </is>
      </c>
      <c r="G15" s="24" t="n">
        <v>1</v>
      </c>
      <c r="H15" s="6" t="inlineStr">
        <is>
          <t>%</t>
        </is>
      </c>
      <c r="I15" s="53">
        <f>IF(G15="","NOT MEASURED",IF(F15="&lt;=",IF(G15&lt;=E15,"MET","NOT MET"),IF(F15="&gt;=",IF(G15&gt;=E15,"MET","NOT MET"),IF(G15=E15,"MET","NOT MET"))))</f>
        <v/>
      </c>
      <c r="J15" s="20" t="inlineStr">
        <is>
          <t>Hash chain verified over 115 records; tamper test in unit tests.</t>
        </is>
      </c>
      <c r="K15" s="20" t="inlineStr">
        <is>
          <t>Ship to S3 Object Lock (WORM) + SIEM</t>
        </is>
      </c>
    </row>
    <row r="16" ht="40" customHeight="1">
      <c r="A16" s="6" t="n">
        <v>12</v>
      </c>
      <c r="B16" s="50" t="inlineStr">
        <is>
          <t>Token optimisation savings</t>
        </is>
      </c>
      <c r="C16" s="12" t="inlineStr">
        <is>
          <t>Savings vs. all-Tier-2</t>
        </is>
      </c>
      <c r="D16" s="12" t="inlineStr">
        <is>
          <t>≥ 50% (ADR 03)</t>
        </is>
      </c>
      <c r="E16" s="24" t="n">
        <v>0.5</v>
      </c>
      <c r="F16" s="52" t="inlineStr">
        <is>
          <t>&gt;=</t>
        </is>
      </c>
      <c r="G16" s="34">
        <f>'Token Economics'!$B$25</f>
        <v/>
      </c>
      <c r="H16" s="6" t="inlineStr">
        <is>
          <t>%</t>
        </is>
      </c>
      <c r="I16" s="53">
        <f>IF(G16="","NOT MEASURED",IF(F16="&lt;=",IF(G16&lt;=E16,"MET","NOT MET"),IF(F16="&gt;=",IF(G16&gt;=E16,"MET","NOT MET"),IF(G16=E16,"MET","NOT MET"))))</f>
        <v/>
      </c>
      <c r="J16" s="20" t="inlineStr">
        <is>
          <t>Projected from Token Economics (routing + cache).</t>
        </is>
      </c>
      <c r="K16" s="20" t="inlineStr">
        <is>
          <t>Weekly Tier-1 vs Tier-2 eval; cache hit dashboard</t>
        </is>
      </c>
    </row>
    <row r="17" ht="40" customHeight="1">
      <c r="A17" s="6" t="n">
        <v>13</v>
      </c>
      <c r="B17" s="50" t="inlineStr">
        <is>
          <t>LLM cost per incident</t>
        </is>
      </c>
      <c r="C17" s="12" t="inlineStr">
        <is>
          <t>$ / incident</t>
        </is>
      </c>
      <c r="D17" s="12" t="inlineStr">
        <is>
          <t>≤ $1.00</t>
        </is>
      </c>
      <c r="E17" s="28" t="n">
        <v>1</v>
      </c>
      <c r="F17" s="52" t="inlineStr">
        <is>
          <t>&lt;=</t>
        </is>
      </c>
      <c r="G17" s="54">
        <f>'Token Economics'!$B$30</f>
        <v/>
      </c>
      <c r="H17" s="6" t="inlineStr">
        <is>
          <t>$</t>
        </is>
      </c>
      <c r="I17" s="53">
        <f>IF(G17="","NOT MEASURED",IF(F17="&lt;=",IF(G17&lt;=E17,"MET","NOT MET"),IF(F17="&gt;=",IF(G17&gt;=E17,"MET","NOT MET"),IF(G17=E17,"MET","NOT MET"))))</f>
        <v/>
      </c>
      <c r="J17" s="20" t="inlineStr">
        <is>
          <t>Real run: $0.034 for 6 incidents ($0.0057 each) on 7-line demo logs; projection assumes production-size logs.</t>
        </is>
      </c>
      <c r="K17" s="20" t="inlineStr">
        <is>
          <t>Per-incident token budget in Supervisor (60k tokens)</t>
        </is>
      </c>
    </row>
    <row r="18" ht="40" customHeight="1">
      <c r="A18" s="6" t="n">
        <v>14</v>
      </c>
      <c r="B18" s="50" t="inlineStr">
        <is>
          <t>HITL approval turnaround</t>
        </is>
      </c>
      <c r="C18" s="12" t="inlineStr">
        <is>
          <t>p50 SRE response</t>
        </is>
      </c>
      <c r="D18" s="12" t="inlineStr">
        <is>
          <t>≤ 10 min</t>
        </is>
      </c>
      <c r="E18" s="23" t="n">
        <v>10</v>
      </c>
      <c r="F18" s="52" t="inlineStr">
        <is>
          <t>&lt;=</t>
        </is>
      </c>
      <c r="H18" s="6" t="inlineStr">
        <is>
          <t>min</t>
        </is>
      </c>
      <c r="I18" s="53">
        <f>IF(G18="","NOT MEASURED",IF(F18="&lt;=",IF(G18&lt;=E18,"MET","NOT MET"),IF(F18="&gt;=",IF(G18&gt;=E18,"MET","NOT MET"),IF(G18=E18,"MET","NOT MET"))))</f>
        <v/>
      </c>
      <c r="J18" s="20" t="inlineStr">
        <is>
          <t>Approvals were scripted in the demo; measure in pilot from hitl.requested → hitl.approved audit events.</t>
        </is>
      </c>
      <c r="K18" s="20" t="inlineStr">
        <is>
          <t>Slack/Teams approval card, 15-min token expiry, auto-escalation</t>
        </is>
      </c>
    </row>
    <row r="20">
      <c r="B20" s="11" t="inlineStr">
        <is>
          <t>Error budget at availability target</t>
        </is>
      </c>
      <c r="G20" s="41">
        <f>(1-E6)*30*24*60</f>
        <v/>
      </c>
      <c r="H20" s="6" t="inlineStr">
        <is>
          <t>min / month</t>
        </is>
      </c>
      <c r="J20" s="2" t="inlineStr">
        <is>
          <t>(1 − 0.999) × 30 days × 24 h × 60 min</t>
        </is>
      </c>
    </row>
    <row r="21">
      <c r="B21" s="11" t="inlineStr">
        <is>
          <t>Status count</t>
        </is>
      </c>
      <c r="C21" s="6" t="inlineStr">
        <is>
          <t>MET</t>
        </is>
      </c>
      <c r="G21" s="44">
        <f>COUNTIF($I$5:$I$18,C21)</f>
        <v/>
      </c>
    </row>
    <row r="22">
      <c r="C22" s="6" t="inlineStr">
        <is>
          <t>NOT MET</t>
        </is>
      </c>
      <c r="G22" s="44">
        <f>COUNTIF($I$5:$I$18,C22)</f>
        <v/>
      </c>
    </row>
    <row r="23">
      <c r="C23" s="6" t="inlineStr">
        <is>
          <t>NOT MEASURED</t>
        </is>
      </c>
      <c r="G23" s="44">
        <f>COUNTIF($I$5:$I$18,C23)</f>
        <v/>
      </c>
    </row>
  </sheetData>
  <conditionalFormatting sqref="I5:I18">
    <cfRule type="cellIs" priority="1" operator="equal" dxfId="0">
      <formula>"MET"</formula>
    </cfRule>
    <cfRule type="cellIs" priority="2" operator="equal" dxfId="1">
      <formula>"NOT MET"</formula>
    </cfRule>
    <cfRule type="cellIs" priority="3" operator="equal" dxfId="2">
      <formula>"NOT MEASURED"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2026-09-28T13:07:49Z</dcterms:created>
  <dcterms:modified xsi:type="dcterms:W3CDTF">2026-09-28T13:07:49Z</dcterms:modified>
</cp:coreProperties>
</file>